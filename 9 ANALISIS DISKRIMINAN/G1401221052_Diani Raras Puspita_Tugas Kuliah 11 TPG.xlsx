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VOBOOK ASUS\Documents\"/>
    </mc:Choice>
  </mc:AlternateContent>
  <xr:revisionPtr revIDLastSave="0" documentId="8_{F34952B2-B8C2-4364-A875-60C66116273B}" xr6:coauthVersionLast="47" xr6:coauthVersionMax="47" xr10:uidLastSave="{00000000-0000-0000-0000-000000000000}"/>
  <bookViews>
    <workbookView xWindow="-110" yWindow="-110" windowWidth="19420" windowHeight="10300" xr2:uid="{7468E1F3-9D35-481A-AEF7-2F52FE6D0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F18" i="1"/>
  <c r="F34" i="1"/>
  <c r="F50" i="1"/>
  <c r="F66" i="1"/>
  <c r="F82" i="1"/>
  <c r="F98" i="1"/>
  <c r="N35" i="1"/>
  <c r="M35" i="1"/>
  <c r="N34" i="1"/>
  <c r="M34" i="1"/>
  <c r="J36" i="1"/>
  <c r="J34" i="1"/>
  <c r="I36" i="1"/>
  <c r="I34" i="1"/>
  <c r="N28" i="1"/>
  <c r="N41" i="1" s="1"/>
  <c r="M28" i="1"/>
  <c r="N40" i="1" s="1"/>
  <c r="N27" i="1"/>
  <c r="M27" i="1"/>
  <c r="M40" i="1" s="1"/>
  <c r="J29" i="1"/>
  <c r="J27" i="1"/>
  <c r="I29" i="1"/>
  <c r="I27" i="1"/>
  <c r="K21" i="1"/>
  <c r="K20" i="1"/>
  <c r="I21" i="1"/>
  <c r="I20" i="1"/>
  <c r="L17" i="1"/>
  <c r="I17" i="1"/>
  <c r="L13" i="1"/>
  <c r="I13" i="1"/>
  <c r="K8" i="1"/>
  <c r="I8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E99" i="1"/>
  <c r="F99" i="1" s="1"/>
  <c r="E100" i="1"/>
  <c r="F100" i="1" s="1"/>
  <c r="E101" i="1"/>
  <c r="F101" i="1" s="1"/>
  <c r="E2" i="1"/>
  <c r="F2" i="1" s="1"/>
  <c r="M41" i="1" l="1"/>
  <c r="M21" i="1"/>
  <c r="O36" i="1"/>
  <c r="M20" i="1"/>
  <c r="K22" i="1"/>
  <c r="I22" i="1"/>
  <c r="M22" i="1" s="1"/>
  <c r="J31" i="1"/>
  <c r="I31" i="1"/>
  <c r="I38" i="1"/>
  <c r="K34" i="1"/>
  <c r="O35" i="1"/>
  <c r="O17" i="1"/>
  <c r="K27" i="1"/>
  <c r="O28" i="1"/>
  <c r="M29" i="1"/>
  <c r="K36" i="1"/>
  <c r="O34" i="1"/>
  <c r="M36" i="1"/>
  <c r="O13" i="1"/>
  <c r="K29" i="1"/>
  <c r="O27" i="1"/>
  <c r="M42" i="1" s="1"/>
  <c r="N29" i="1"/>
  <c r="K38" i="1"/>
  <c r="N36" i="1"/>
  <c r="K31" i="1"/>
  <c r="O29" i="1"/>
  <c r="O42" i="1" s="1"/>
  <c r="J38" i="1"/>
  <c r="O40" i="1" l="1"/>
  <c r="O41" i="1"/>
  <c r="N42" i="1"/>
  <c r="M45" i="1" l="1" a="1"/>
  <c r="O45" i="1" s="1"/>
  <c r="M46" i="1" l="1"/>
  <c r="O47" i="1"/>
  <c r="M45" i="1"/>
  <c r="N47" i="1"/>
  <c r="O46" i="1"/>
  <c r="N46" i="1"/>
  <c r="M47" i="1"/>
  <c r="N45" i="1"/>
  <c r="M50" i="1" l="1" a="1"/>
  <c r="M50" i="1" s="1"/>
  <c r="M51" i="1" l="1"/>
  <c r="M52" i="1"/>
  <c r="J54" i="1" a="1"/>
  <c r="J54" i="1" l="1"/>
  <c r="K54" i="1"/>
  <c r="L54" i="1"/>
  <c r="K62" i="1" l="1"/>
</calcChain>
</file>

<file path=xl/sharedStrings.xml><?xml version="1.0" encoding="utf-8"?>
<sst xmlns="http://schemas.openxmlformats.org/spreadsheetml/2006/main" count="159" uniqueCount="47">
  <si>
    <t>Usia</t>
  </si>
  <si>
    <t>Status</t>
  </si>
  <si>
    <t>Bad</t>
  </si>
  <si>
    <t>Good</t>
  </si>
  <si>
    <t>Usia +2</t>
  </si>
  <si>
    <t>Tanggungan</t>
  </si>
  <si>
    <t>Pendapatan</t>
  </si>
  <si>
    <t>Nama: Diani Raras Puspita</t>
  </si>
  <si>
    <t>NIM: G1401221052</t>
  </si>
  <si>
    <t>A. MENENTUKAN MODEL FUNGSI DISKRIMINAN</t>
  </si>
  <si>
    <t>1. Menentukan Vektor Rataan</t>
  </si>
  <si>
    <t>bad</t>
  </si>
  <si>
    <t>good</t>
  </si>
  <si>
    <t>Rata-rata Pendapatan</t>
  </si>
  <si>
    <t>Rata-rata Tanggungan</t>
  </si>
  <si>
    <t>Rata-rata Usia+2</t>
  </si>
  <si>
    <t>Vektor Rataan</t>
  </si>
  <si>
    <t>Ukuran Sampel</t>
  </si>
  <si>
    <t>x_bad</t>
  </si>
  <si>
    <t>x_good</t>
  </si>
  <si>
    <t>2. Matriks Kovarians (S_bad dan S_good)</t>
  </si>
  <si>
    <t>Var A,A</t>
  </si>
  <si>
    <t>Cov A,B</t>
  </si>
  <si>
    <t>Cov A,E</t>
  </si>
  <si>
    <t>Cov B,A</t>
  </si>
  <si>
    <t>Var B,B</t>
  </si>
  <si>
    <t>Cov B,E</t>
  </si>
  <si>
    <t>Cov E,A</t>
  </si>
  <si>
    <t>Cov E, B</t>
  </si>
  <si>
    <t>Var E,E</t>
  </si>
  <si>
    <t>S_bad</t>
  </si>
  <si>
    <t>S_good</t>
  </si>
  <si>
    <t>S_pooled</t>
  </si>
  <si>
    <t>Invers S_pooled</t>
  </si>
  <si>
    <t xml:space="preserve">3. Menentukan matriks varian kovarian </t>
  </si>
  <si>
    <t xml:space="preserve">4. Mencari nilai a </t>
  </si>
  <si>
    <t>a = S_pooled⁻¹ × d</t>
  </si>
  <si>
    <t>d selisih mean: (x_good – x_bad)</t>
  </si>
  <si>
    <t xml:space="preserve">a' = </t>
  </si>
  <si>
    <t xml:space="preserve">Jadi Model Fungsi Diskriminan </t>
  </si>
  <si>
    <t>y  = a₁·Tanggungan + a₂·Pendapatan + a₃·Usia+2</t>
  </si>
  <si>
    <t>y  = -0,35942·Tanggungan + 0,33119·Pendapatan + 0,03271·Usia+2</t>
  </si>
  <si>
    <t xml:space="preserve">B. KLASIFIKASI DISKRIMINAN </t>
  </si>
  <si>
    <t>Fisher</t>
  </si>
  <si>
    <t>Status New</t>
  </si>
  <si>
    <t>nilai h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</si>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</sst>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2" fillId="0" borderId="0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EC51-1AD2-4370-BD98-1EF08F6BE108}">
  <dimension ref="A1:O101"/>
  <sheetViews>
    <sheetView tabSelected="1" topLeftCell="A16" zoomScale="88" zoomScaleNormal="132" workbookViewId="0">
      <selection activeCell="I65" sqref="I65"/>
    </sheetView>
  </sheetViews>
  <sheetFormatPr defaultRowHeight="14.5" x14ac:dyDescent="0.35"/>
  <cols>
    <col min="1" max="1" width="12.36328125" customWidth="1"/>
    <col min="2" max="2" width="14.54296875" customWidth="1"/>
    <col min="5" max="7" width="8.7265625" style="12"/>
    <col min="11" max="11" width="9.1796875" bestFit="1" customWidth="1"/>
  </cols>
  <sheetData>
    <row r="1" spans="1:15" ht="15" thickBot="1" x14ac:dyDescent="0.4">
      <c r="A1" s="1" t="s">
        <v>5</v>
      </c>
      <c r="B1" s="2" t="s">
        <v>6</v>
      </c>
      <c r="C1" s="2" t="s">
        <v>0</v>
      </c>
      <c r="D1" s="6" t="s">
        <v>1</v>
      </c>
      <c r="E1" s="14" t="s">
        <v>4</v>
      </c>
      <c r="F1" s="14" t="s">
        <v>43</v>
      </c>
      <c r="G1" s="14" t="s">
        <v>44</v>
      </c>
      <c r="I1" s="8" t="s">
        <v>7</v>
      </c>
      <c r="J1" s="9"/>
      <c r="K1" s="9"/>
    </row>
    <row r="2" spans="1:15" ht="15" thickBot="1" x14ac:dyDescent="0.4">
      <c r="A2" s="3">
        <v>6</v>
      </c>
      <c r="B2" s="4">
        <v>10</v>
      </c>
      <c r="C2" s="4">
        <v>39</v>
      </c>
      <c r="D2" s="7" t="s">
        <v>2</v>
      </c>
      <c r="E2" s="15">
        <f>SUM(C2+2)</f>
        <v>41</v>
      </c>
      <c r="F2" s="15">
        <f>(-0.35942*A2)+(0.331189*B2)+(0.032707*E2)</f>
        <v>2.4963569999999997</v>
      </c>
      <c r="G2" s="15" t="str">
        <f>IF(F2&lt;=$K$62,"bad","good")</f>
        <v>bad</v>
      </c>
      <c r="I2" s="10" t="s">
        <v>8</v>
      </c>
      <c r="J2" s="9"/>
      <c r="K2" s="9"/>
    </row>
    <row r="3" spans="1:15" ht="15" thickBot="1" x14ac:dyDescent="0.4">
      <c r="A3" s="3">
        <v>1</v>
      </c>
      <c r="B3" s="4">
        <v>9</v>
      </c>
      <c r="C3" s="4">
        <v>49</v>
      </c>
      <c r="D3" s="7" t="s">
        <v>2</v>
      </c>
      <c r="E3" s="15">
        <f t="shared" ref="E3:E66" si="0">SUM(C3+2)</f>
        <v>51</v>
      </c>
      <c r="F3" s="15">
        <f t="shared" ref="F3:F66" si="1">(-0.35942*A3)+(0.331189*B3)+(0.032707*E3)</f>
        <v>4.2893379999999999</v>
      </c>
      <c r="G3" s="15" t="str">
        <f t="shared" ref="G3:G66" si="2">IF(F3&lt;=$K$62,"bad","good")</f>
        <v>good</v>
      </c>
    </row>
    <row r="4" spans="1:15" ht="15" thickBot="1" x14ac:dyDescent="0.4">
      <c r="A4" s="3">
        <v>2</v>
      </c>
      <c r="B4" s="4">
        <v>4.8</v>
      </c>
      <c r="C4" s="4">
        <v>35</v>
      </c>
      <c r="D4" s="7" t="s">
        <v>2</v>
      </c>
      <c r="E4" s="15">
        <f t="shared" si="0"/>
        <v>37</v>
      </c>
      <c r="F4" s="15">
        <f t="shared" si="1"/>
        <v>2.0810262000000002</v>
      </c>
      <c r="G4" s="15" t="str">
        <f t="shared" si="2"/>
        <v>bad</v>
      </c>
      <c r="I4" s="5" t="s">
        <v>9</v>
      </c>
    </row>
    <row r="5" spans="1:15" ht="15" thickBot="1" x14ac:dyDescent="0.4">
      <c r="A5" s="3">
        <v>0</v>
      </c>
      <c r="B5" s="4">
        <v>4.9000000000000004</v>
      </c>
      <c r="C5" s="4">
        <v>52</v>
      </c>
      <c r="D5" s="7" t="s">
        <v>2</v>
      </c>
      <c r="E5" s="15">
        <f t="shared" si="0"/>
        <v>54</v>
      </c>
      <c r="F5" s="15">
        <f t="shared" si="1"/>
        <v>3.3890041000000002</v>
      </c>
      <c r="G5" s="15" t="str">
        <f t="shared" si="2"/>
        <v>bad</v>
      </c>
      <c r="I5" s="5" t="s">
        <v>10</v>
      </c>
    </row>
    <row r="6" spans="1:15" ht="15" thickBot="1" x14ac:dyDescent="0.4">
      <c r="A6" s="3">
        <v>1</v>
      </c>
      <c r="B6" s="4">
        <v>4.7</v>
      </c>
      <c r="C6" s="4">
        <v>34</v>
      </c>
      <c r="D6" s="7" t="s">
        <v>2</v>
      </c>
      <c r="E6" s="15">
        <f t="shared" si="0"/>
        <v>36</v>
      </c>
      <c r="F6" s="15">
        <f t="shared" si="1"/>
        <v>2.3746203000000001</v>
      </c>
      <c r="G6" s="15" t="str">
        <f t="shared" si="2"/>
        <v>bad</v>
      </c>
      <c r="I6" t="s">
        <v>17</v>
      </c>
    </row>
    <row r="7" spans="1:15" ht="15" thickBot="1" x14ac:dyDescent="0.4">
      <c r="A7" s="3">
        <v>3</v>
      </c>
      <c r="B7" s="4">
        <v>2.4</v>
      </c>
      <c r="C7" s="4">
        <v>44</v>
      </c>
      <c r="D7" s="7" t="s">
        <v>2</v>
      </c>
      <c r="E7" s="15">
        <f t="shared" si="0"/>
        <v>46</v>
      </c>
      <c r="F7" s="15">
        <f t="shared" si="1"/>
        <v>1.2211156000000001</v>
      </c>
      <c r="G7" s="15" t="str">
        <f t="shared" si="2"/>
        <v>bad</v>
      </c>
      <c r="I7" t="s">
        <v>11</v>
      </c>
      <c r="K7" t="s">
        <v>12</v>
      </c>
    </row>
    <row r="8" spans="1:15" ht="15" thickBot="1" x14ac:dyDescent="0.4">
      <c r="A8" s="3">
        <v>3</v>
      </c>
      <c r="B8" s="4">
        <v>4.5999999999999996</v>
      </c>
      <c r="C8" s="4">
        <v>37</v>
      </c>
      <c r="D8" s="7" t="s">
        <v>2</v>
      </c>
      <c r="E8" s="15">
        <f t="shared" si="0"/>
        <v>39</v>
      </c>
      <c r="F8" s="15">
        <f t="shared" si="1"/>
        <v>1.7207824</v>
      </c>
      <c r="G8" s="15" t="str">
        <f t="shared" si="2"/>
        <v>bad</v>
      </c>
      <c r="I8">
        <f>COUNTIF($D$2:$D$101,"Bad")</f>
        <v>47</v>
      </c>
      <c r="K8">
        <f>COUNTIF($D$2:$D$101,"Good")</f>
        <v>53</v>
      </c>
    </row>
    <row r="9" spans="1:15" ht="15" thickBot="1" x14ac:dyDescent="0.4">
      <c r="A9" s="3">
        <v>2</v>
      </c>
      <c r="B9" s="4">
        <v>4.9000000000000004</v>
      </c>
      <c r="C9" s="4">
        <v>56</v>
      </c>
      <c r="D9" s="7" t="s">
        <v>2</v>
      </c>
      <c r="E9" s="15">
        <f t="shared" si="0"/>
        <v>58</v>
      </c>
      <c r="F9" s="15">
        <f t="shared" si="1"/>
        <v>2.8009921000000002</v>
      </c>
      <c r="G9" s="15" t="str">
        <f t="shared" si="2"/>
        <v>bad</v>
      </c>
    </row>
    <row r="10" spans="1:15" ht="15" thickBot="1" x14ac:dyDescent="0.4">
      <c r="A10" s="3">
        <v>4</v>
      </c>
      <c r="B10" s="4">
        <v>8</v>
      </c>
      <c r="C10" s="4">
        <v>35</v>
      </c>
      <c r="D10" s="7" t="s">
        <v>2</v>
      </c>
      <c r="E10" s="15">
        <f t="shared" si="0"/>
        <v>37</v>
      </c>
      <c r="F10" s="15">
        <f t="shared" si="1"/>
        <v>2.4219910000000002</v>
      </c>
      <c r="G10" s="15" t="str">
        <f t="shared" si="2"/>
        <v>bad</v>
      </c>
      <c r="I10" t="s">
        <v>16</v>
      </c>
    </row>
    <row r="11" spans="1:15" ht="15" thickBot="1" x14ac:dyDescent="0.4">
      <c r="A11" s="3">
        <v>1</v>
      </c>
      <c r="B11" s="4">
        <v>8.3000000000000007</v>
      </c>
      <c r="C11" s="4">
        <v>49</v>
      </c>
      <c r="D11" s="7" t="s">
        <v>2</v>
      </c>
      <c r="E11" s="15">
        <f t="shared" si="0"/>
        <v>51</v>
      </c>
      <c r="F11" s="15">
        <f t="shared" si="1"/>
        <v>4.0575057000000001</v>
      </c>
      <c r="G11" s="15" t="str">
        <f t="shared" si="2"/>
        <v>good</v>
      </c>
      <c r="I11" t="s">
        <v>18</v>
      </c>
    </row>
    <row r="12" spans="1:15" ht="15" thickBot="1" x14ac:dyDescent="0.4">
      <c r="A12" s="3">
        <v>3</v>
      </c>
      <c r="B12" s="4">
        <v>8</v>
      </c>
      <c r="C12" s="4">
        <v>49</v>
      </c>
      <c r="D12" s="7" t="s">
        <v>2</v>
      </c>
      <c r="E12" s="15">
        <f t="shared" si="0"/>
        <v>51</v>
      </c>
      <c r="F12" s="15">
        <f t="shared" si="1"/>
        <v>3.239309</v>
      </c>
      <c r="G12" s="15" t="str">
        <f t="shared" si="2"/>
        <v>bad</v>
      </c>
      <c r="I12" t="s">
        <v>14</v>
      </c>
      <c r="L12" t="s">
        <v>13</v>
      </c>
      <c r="O12" t="s">
        <v>15</v>
      </c>
    </row>
    <row r="13" spans="1:15" ht="15" thickBot="1" x14ac:dyDescent="0.4">
      <c r="A13" s="3">
        <v>1</v>
      </c>
      <c r="B13" s="4">
        <v>4.2</v>
      </c>
      <c r="C13" s="4">
        <v>36</v>
      </c>
      <c r="D13" s="7" t="s">
        <v>2</v>
      </c>
      <c r="E13" s="15">
        <f t="shared" si="0"/>
        <v>38</v>
      </c>
      <c r="F13" s="15">
        <f t="shared" si="1"/>
        <v>2.2744398000000001</v>
      </c>
      <c r="G13" s="15" t="str">
        <f t="shared" si="2"/>
        <v>bad</v>
      </c>
      <c r="I13">
        <f>AVERAGEIF($D$2:$D$101,"Bad",$A$2:$A$101)</f>
        <v>2.1276595744680851</v>
      </c>
      <c r="L13">
        <f>AVERAGEIF($D$2:$D$101,"Bad",$B$2:$B$101)</f>
        <v>7.1297872340425545</v>
      </c>
      <c r="O13">
        <f>AVERAGEIF($D$2:$D$101,"Bad",$E$2:$E$101)</f>
        <v>46.978723404255319</v>
      </c>
    </row>
    <row r="14" spans="1:15" ht="15" thickBot="1" x14ac:dyDescent="0.4">
      <c r="A14" s="3">
        <v>2</v>
      </c>
      <c r="B14" s="4">
        <v>3.1</v>
      </c>
      <c r="C14" s="4">
        <v>55</v>
      </c>
      <c r="D14" s="7" t="s">
        <v>2</v>
      </c>
      <c r="E14" s="15">
        <f t="shared" si="0"/>
        <v>57</v>
      </c>
      <c r="F14" s="15">
        <f t="shared" si="1"/>
        <v>2.1721449000000002</v>
      </c>
      <c r="G14" s="15" t="str">
        <f t="shared" si="2"/>
        <v>bad</v>
      </c>
    </row>
    <row r="15" spans="1:15" ht="15" thickBot="1" x14ac:dyDescent="0.4">
      <c r="A15" s="3">
        <v>2</v>
      </c>
      <c r="B15" s="4">
        <v>6.8</v>
      </c>
      <c r="C15" s="4">
        <v>40</v>
      </c>
      <c r="D15" s="7" t="s">
        <v>2</v>
      </c>
      <c r="E15" s="15">
        <f t="shared" si="0"/>
        <v>42</v>
      </c>
      <c r="F15" s="15">
        <f t="shared" si="1"/>
        <v>2.9069392000000001</v>
      </c>
      <c r="G15" s="15" t="str">
        <f t="shared" si="2"/>
        <v>bad</v>
      </c>
      <c r="I15" t="s">
        <v>19</v>
      </c>
    </row>
    <row r="16" spans="1:15" ht="15" thickBot="1" x14ac:dyDescent="0.4">
      <c r="A16" s="3">
        <v>2</v>
      </c>
      <c r="B16" s="4">
        <v>7.4</v>
      </c>
      <c r="C16" s="4">
        <v>34</v>
      </c>
      <c r="D16" s="7" t="s">
        <v>2</v>
      </c>
      <c r="E16" s="15">
        <f t="shared" si="0"/>
        <v>36</v>
      </c>
      <c r="F16" s="15">
        <f t="shared" si="1"/>
        <v>2.9094106000000002</v>
      </c>
      <c r="G16" s="15" t="str">
        <f t="shared" si="2"/>
        <v>bad</v>
      </c>
      <c r="I16" t="s">
        <v>14</v>
      </c>
      <c r="L16" t="s">
        <v>13</v>
      </c>
      <c r="O16" t="s">
        <v>15</v>
      </c>
    </row>
    <row r="17" spans="1:15" ht="15" thickBot="1" x14ac:dyDescent="0.4">
      <c r="A17" s="3">
        <v>1</v>
      </c>
      <c r="B17" s="4">
        <v>7</v>
      </c>
      <c r="C17" s="4">
        <v>34</v>
      </c>
      <c r="D17" s="7" t="s">
        <v>2</v>
      </c>
      <c r="E17" s="15">
        <f t="shared" si="0"/>
        <v>36</v>
      </c>
      <c r="F17" s="15">
        <f t="shared" si="1"/>
        <v>3.136355</v>
      </c>
      <c r="G17" s="15" t="str">
        <f t="shared" si="2"/>
        <v>bad</v>
      </c>
      <c r="I17">
        <f>AVERAGEIF($D$2:$D$101,"Good",$A$2:$A$101)</f>
        <v>1.679245283018868</v>
      </c>
      <c r="L17">
        <f>AVERAGEIF($D$2:$D$101,"Good",$B$2:$B$101)</f>
        <v>11.388679245283019</v>
      </c>
      <c r="O17">
        <f>AVERAGEIF($D$2:$D$101,"Good",$E$2:$E$101)</f>
        <v>49.339622641509436</v>
      </c>
    </row>
    <row r="18" spans="1:15" ht="15" thickBot="1" x14ac:dyDescent="0.4">
      <c r="A18" s="3">
        <v>1</v>
      </c>
      <c r="B18" s="4">
        <v>7.8</v>
      </c>
      <c r="C18" s="4">
        <v>48</v>
      </c>
      <c r="D18" s="7" t="s">
        <v>2</v>
      </c>
      <c r="E18" s="15">
        <f t="shared" si="0"/>
        <v>50</v>
      </c>
      <c r="F18" s="15">
        <f t="shared" si="1"/>
        <v>3.8592041999999998</v>
      </c>
      <c r="G18" s="15" t="str">
        <f t="shared" si="2"/>
        <v>bad</v>
      </c>
    </row>
    <row r="19" spans="1:15" ht="15" thickBot="1" x14ac:dyDescent="0.4">
      <c r="A19" s="3">
        <v>1</v>
      </c>
      <c r="B19" s="4">
        <v>8.1999999999999993</v>
      </c>
      <c r="C19" s="4">
        <v>49</v>
      </c>
      <c r="D19" s="7" t="s">
        <v>2</v>
      </c>
      <c r="E19" s="15">
        <f t="shared" si="0"/>
        <v>51</v>
      </c>
      <c r="F19" s="15">
        <f t="shared" si="1"/>
        <v>4.0243867999999994</v>
      </c>
      <c r="G19" s="15" t="str">
        <f t="shared" si="2"/>
        <v>good</v>
      </c>
      <c r="I19" t="s">
        <v>18</v>
      </c>
      <c r="K19" t="s">
        <v>19</v>
      </c>
      <c r="M19" t="s">
        <v>37</v>
      </c>
    </row>
    <row r="20" spans="1:15" ht="15" thickBot="1" x14ac:dyDescent="0.4">
      <c r="A20" s="3">
        <v>0</v>
      </c>
      <c r="B20" s="4">
        <v>4.5</v>
      </c>
      <c r="C20" s="4">
        <v>43</v>
      </c>
      <c r="D20" s="7" t="s">
        <v>2</v>
      </c>
      <c r="E20" s="15">
        <f t="shared" si="0"/>
        <v>45</v>
      </c>
      <c r="F20" s="15">
        <f t="shared" si="1"/>
        <v>2.9621655000000002</v>
      </c>
      <c r="G20" s="15" t="str">
        <f t="shared" si="2"/>
        <v>bad</v>
      </c>
      <c r="I20">
        <f>AVERAGEIF($D$2:$D$101,"Bad",$A$2:$A$101)</f>
        <v>2.1276595744680851</v>
      </c>
      <c r="K20">
        <f>AVERAGEIF($D$2:$D$101,"Good",$A$2:$A$101)</f>
        <v>1.679245283018868</v>
      </c>
      <c r="M20">
        <f>K20 - I20</f>
        <v>-0.44841429144921707</v>
      </c>
    </row>
    <row r="21" spans="1:15" ht="15" thickBot="1" x14ac:dyDescent="0.4">
      <c r="A21" s="3">
        <v>3</v>
      </c>
      <c r="B21" s="4">
        <v>8.1</v>
      </c>
      <c r="C21" s="4">
        <v>39</v>
      </c>
      <c r="D21" s="7" t="s">
        <v>2</v>
      </c>
      <c r="E21" s="15">
        <f t="shared" si="0"/>
        <v>41</v>
      </c>
      <c r="F21" s="15">
        <f t="shared" si="1"/>
        <v>2.9453578999999999</v>
      </c>
      <c r="G21" s="15" t="str">
        <f t="shared" si="2"/>
        <v>bad</v>
      </c>
      <c r="I21">
        <f>AVERAGEIF($D$2:$D$101,"Bad",$B$2:$B$101)</f>
        <v>7.1297872340425545</v>
      </c>
      <c r="K21">
        <f>AVERAGEIF($D$2:$D$101,"Good",$B$2:$B$101)</f>
        <v>11.388679245283019</v>
      </c>
      <c r="M21">
        <f>K21 - I21</f>
        <v>4.258892011240464</v>
      </c>
    </row>
    <row r="22" spans="1:15" ht="15" thickBot="1" x14ac:dyDescent="0.4">
      <c r="A22" s="3">
        <v>2</v>
      </c>
      <c r="B22" s="4">
        <v>6.6</v>
      </c>
      <c r="C22" s="4">
        <v>48</v>
      </c>
      <c r="D22" s="7" t="s">
        <v>2</v>
      </c>
      <c r="E22" s="15">
        <f t="shared" si="0"/>
        <v>50</v>
      </c>
      <c r="F22" s="15">
        <f t="shared" si="1"/>
        <v>3.1023573999999998</v>
      </c>
      <c r="G22" s="15" t="str">
        <f t="shared" si="2"/>
        <v>bad</v>
      </c>
      <c r="I22">
        <f>AVERAGEIF($D$2:$D$101,"Bad",$E$2:$E$101)</f>
        <v>46.978723404255319</v>
      </c>
      <c r="K22">
        <f>AVERAGEIF($D$2:$D$101,"Good",$E$2:$E$101)</f>
        <v>49.339622641509436</v>
      </c>
      <c r="M22">
        <f>K22 - I22</f>
        <v>2.3608992372541167</v>
      </c>
    </row>
    <row r="23" spans="1:15" ht="15" thickBot="1" x14ac:dyDescent="0.4">
      <c r="A23" s="3">
        <v>4</v>
      </c>
      <c r="B23" s="4">
        <v>19.8</v>
      </c>
      <c r="C23" s="4">
        <v>41</v>
      </c>
      <c r="D23" s="7" t="s">
        <v>2</v>
      </c>
      <c r="E23" s="15">
        <f t="shared" si="0"/>
        <v>43</v>
      </c>
      <c r="F23" s="15">
        <f t="shared" si="1"/>
        <v>6.5262631999999998</v>
      </c>
      <c r="G23" s="15" t="str">
        <f t="shared" si="2"/>
        <v>good</v>
      </c>
    </row>
    <row r="24" spans="1:15" ht="15" thickBot="1" x14ac:dyDescent="0.4">
      <c r="A24" s="3">
        <v>1</v>
      </c>
      <c r="B24" s="4">
        <v>7.8</v>
      </c>
      <c r="C24" s="4">
        <v>34</v>
      </c>
      <c r="D24" s="7" t="s">
        <v>2</v>
      </c>
      <c r="E24" s="15">
        <f t="shared" si="0"/>
        <v>36</v>
      </c>
      <c r="F24" s="15">
        <f t="shared" si="1"/>
        <v>3.4013061999999996</v>
      </c>
      <c r="G24" s="15" t="str">
        <f t="shared" si="2"/>
        <v>bad</v>
      </c>
    </row>
    <row r="25" spans="1:15" ht="15" thickBot="1" x14ac:dyDescent="0.4">
      <c r="A25" s="3">
        <v>2</v>
      </c>
      <c r="B25" s="4">
        <v>4.5999999999999996</v>
      </c>
      <c r="C25" s="4">
        <v>46</v>
      </c>
      <c r="D25" s="7" t="s">
        <v>2</v>
      </c>
      <c r="E25" s="15">
        <f t="shared" si="0"/>
        <v>48</v>
      </c>
      <c r="F25" s="15">
        <f t="shared" si="1"/>
        <v>2.3745653999999998</v>
      </c>
      <c r="G25" s="15" t="str">
        <f t="shared" si="2"/>
        <v>bad</v>
      </c>
      <c r="I25" t="s">
        <v>20</v>
      </c>
    </row>
    <row r="26" spans="1:15" ht="15" thickBot="1" x14ac:dyDescent="0.4">
      <c r="A26" s="3">
        <v>0</v>
      </c>
      <c r="B26" s="4">
        <v>7.4</v>
      </c>
      <c r="C26" s="4">
        <v>45</v>
      </c>
      <c r="D26" s="7" t="s">
        <v>2</v>
      </c>
      <c r="E26" s="15">
        <f t="shared" si="0"/>
        <v>47</v>
      </c>
      <c r="F26" s="15">
        <f t="shared" si="1"/>
        <v>3.9880276000000001</v>
      </c>
      <c r="G26" s="15" t="str">
        <f t="shared" si="2"/>
        <v>good</v>
      </c>
      <c r="I26" t="s">
        <v>21</v>
      </c>
      <c r="J26" t="s">
        <v>24</v>
      </c>
      <c r="K26" t="s">
        <v>27</v>
      </c>
      <c r="M26" t="s">
        <v>30</v>
      </c>
    </row>
    <row r="27" spans="1:15" ht="15" thickBot="1" x14ac:dyDescent="0.4">
      <c r="A27" s="3">
        <v>4</v>
      </c>
      <c r="B27" s="4">
        <v>5.5</v>
      </c>
      <c r="C27" s="4">
        <v>46</v>
      </c>
      <c r="D27" s="7" t="s">
        <v>2</v>
      </c>
      <c r="E27" s="15">
        <f t="shared" si="0"/>
        <v>48</v>
      </c>
      <c r="F27" s="15">
        <f t="shared" si="1"/>
        <v>1.9537955</v>
      </c>
      <c r="G27" s="15" t="str">
        <f t="shared" si="2"/>
        <v>bad</v>
      </c>
      <c r="I27">
        <f>SUMPRODUCT(($D$2:$D$101="Bad")*($A$2:$A$101-AVERAGEIF($D$2:$D$101,"Bad",$A$2:$A$101))^2)/(COUNTIF($D$2:$D$101,"Bad")-1)</f>
        <v>1.7224791859389448</v>
      </c>
      <c r="J27">
        <f>SUMPRODUCT(($D$2:$D$101="Bad")*($B$2:$B$101-AVERAGEIF($D$2:$D$101,"Bad",$B$2:$B$101))*($A$2:$A$101-AVERAGEIF($D$2:$D$101,"Bad",$A$2:$A$101)))/(COUNTIF($D$2:$D$101,"Bad")-1)</f>
        <v>1.0569842738205362</v>
      </c>
      <c r="K27">
        <f>SUMPRODUCT(($D$2:$D$101="Bad")*($E$2:$E$101-AVERAGEIF($D$2:$D$101,"Bad",$E$2:$E$101))*($A$2:$A$101-AVERAGEIF($D$2:$D$101,"Bad",$A$2:$A$101)))/(COUNTIF($D$2:$D$101,"Bad")-1)</f>
        <v>-0.10592044403330246</v>
      </c>
      <c r="M27">
        <f>SUMPRODUCT(($D$2:$D$101="Bad")*($A$2:$A$101-AVERAGEIF($D$2:$D$101,"Bad",$A$2:$A$101))^2)/(COUNTIF($D$2:$D$101,"Bad")-1)</f>
        <v>1.7224791859389448</v>
      </c>
      <c r="N27">
        <f>SUMPRODUCT(($D$2:$D$101="Bad")*($B$2:$B$101-AVERAGEIF($D$2:$D$101,"Bad",$B$2:$B$101))*($A$2:$A$101-AVERAGEIF($D$2:$D$101,"Bad",$A$2:$A$101)))/(COUNTIF($D$2:$D$101,"Bad")-1)</f>
        <v>1.0569842738205362</v>
      </c>
      <c r="O27">
        <f>SUMPRODUCT(($D$2:$D$101="Bad")*($E$2:$E$101-AVERAGEIF($D$2:$D$101,"Bad",$E$2:$E$101))*($A$2:$A$101-AVERAGEIF($D$2:$D$101,"Bad",$A$2:$A$101)))/(COUNTIF($D$2:$D$101,"Bad")-1)</f>
        <v>-0.10592044403330246</v>
      </c>
    </row>
    <row r="28" spans="1:15" ht="15" thickBot="1" x14ac:dyDescent="0.4">
      <c r="A28" s="3">
        <v>3</v>
      </c>
      <c r="B28" s="4">
        <v>16.399999999999999</v>
      </c>
      <c r="C28" s="4">
        <v>53</v>
      </c>
      <c r="D28" s="7" t="s">
        <v>2</v>
      </c>
      <c r="E28" s="15">
        <f t="shared" si="0"/>
        <v>55</v>
      </c>
      <c r="F28" s="15">
        <f t="shared" si="1"/>
        <v>6.1521245999999996</v>
      </c>
      <c r="G28" s="15" t="str">
        <f t="shared" si="2"/>
        <v>good</v>
      </c>
      <c r="I28" t="s">
        <v>22</v>
      </c>
      <c r="J28" t="s">
        <v>25</v>
      </c>
      <c r="K28" t="s">
        <v>28</v>
      </c>
      <c r="M28">
        <f>SUMPRODUCT(($D$2:$D$101="Bad")*($A$2:$A$101-AVERAGEIF($D$2:$D$101,"Bad",$A$2:$A$101))*($B$2:$B$101-AVERAGEIF($D$2:$D$101,"Bad",$B$2:$B$101)))/(COUNTIF($D$2:$D$101,"Bad")-1)</f>
        <v>1.0569842738205362</v>
      </c>
      <c r="N28">
        <f>SUMPRODUCT(($D$2:$D$101="Bad")*($B$2:$B$101-AVERAGEIF($D$2:$D$101,"Bad",$B$2:$B$101))^2)/(COUNTIF($D$2:$D$101,"Bad")-1)</f>
        <v>10.073441258094356</v>
      </c>
      <c r="O28">
        <f>SUMPRODUCT(($D$2:$D$101="Bad")*($E$2:$E$101-AVERAGEIF($D$2:$D$101,"Bad",$E$2:$E$101))*($B$2:$B$101-AVERAGEIF($D$2:$D$101,"Bad",$B$2:$B$101)))/(COUNTIF($D$2:$D$101,"Bad")-1)</f>
        <v>-1.6623959296947273</v>
      </c>
    </row>
    <row r="29" spans="1:15" ht="15" thickBot="1" x14ac:dyDescent="0.4">
      <c r="A29" s="3">
        <v>1</v>
      </c>
      <c r="B29" s="4">
        <v>7.6</v>
      </c>
      <c r="C29" s="4">
        <v>34</v>
      </c>
      <c r="D29" s="7" t="s">
        <v>2</v>
      </c>
      <c r="E29" s="15">
        <f t="shared" si="0"/>
        <v>36</v>
      </c>
      <c r="F29" s="15">
        <f t="shared" si="1"/>
        <v>3.3350683999999999</v>
      </c>
      <c r="G29" s="15" t="str">
        <f t="shared" si="2"/>
        <v>bad</v>
      </c>
      <c r="I29">
        <f>SUMPRODUCT(($D$2:$D$101="Bad")*($A$2:$A$101-AVERAGEIF($D$2:$D$101,"Bad",$A$2:$A$101))*($B$2:$B$101-AVERAGEIF($D$2:$D$101,"Bad",$B$2:$B$101)))/(COUNTIF($D$2:$D$101,"Bad")-1)</f>
        <v>1.0569842738205362</v>
      </c>
      <c r="J29">
        <f>SUMPRODUCT(($D$2:$D$101="Bad")*($B$2:$B$101-AVERAGEIF($D$2:$D$101,"Bad",$B$2:$B$101))^2)/(COUNTIF($D$2:$D$101,"Bad")-1)</f>
        <v>10.073441258094356</v>
      </c>
      <c r="K29">
        <f>SUMPRODUCT(($D$2:$D$101="Bad")*($E$2:$E$101-AVERAGEIF($D$2:$D$101,"Bad",$E$2:$E$101))*($B$2:$B$101-AVERAGEIF($D$2:$D$101,"Bad",$B$2:$B$101)))/(COUNTIF($D$2:$D$101,"Bad")-1)</f>
        <v>-1.6623959296947273</v>
      </c>
      <c r="M29">
        <f>SUMPRODUCT(($D$2:$D$101="Bad")*($A$2:$A$101-AVERAGEIF($D$2:$D$101,"Bad",$A$2:$A$101))*($E$2:$E$101-AVERAGEIF($D$2:$D$101,"Bad",$E$2:$E$101)))/(COUNTIF($D$2:$D$101,"Bad")-1)</f>
        <v>-0.10592044403330246</v>
      </c>
      <c r="N29">
        <f>SUMPRODUCT(($D$2:$D$101="Bad")*($B$2:$B$101-AVERAGEIF($D$2:$D$101,"Bad",$B$2:$B$101))*($E$2:$E$101-AVERAGEIF($D$2:$D$101,"Bad",$E$2:$E$101)))/(COUNTIF($D$2:$D$101,"Bad")-1)</f>
        <v>-1.6623959296947273</v>
      </c>
      <c r="O29">
        <f>SUMPRODUCT(($D$2:$D$101="Bad")*($E$2:$E$101-AVERAGEIF($D$2:$D$101,"Bad",$E$2:$E$101))^2)/(COUNTIF($D$2:$D$101,"Bad")-1)</f>
        <v>50.543015726179462</v>
      </c>
    </row>
    <row r="30" spans="1:15" ht="15" thickBot="1" x14ac:dyDescent="0.4">
      <c r="A30" s="3">
        <v>2</v>
      </c>
      <c r="B30" s="4">
        <v>4.9000000000000004</v>
      </c>
      <c r="C30" s="4">
        <v>55</v>
      </c>
      <c r="D30" s="7" t="s">
        <v>2</v>
      </c>
      <c r="E30" s="15">
        <f t="shared" si="0"/>
        <v>57</v>
      </c>
      <c r="F30" s="15">
        <f t="shared" si="1"/>
        <v>2.7682850999999999</v>
      </c>
      <c r="G30" s="15" t="str">
        <f t="shared" si="2"/>
        <v>bad</v>
      </c>
      <c r="I30" t="s">
        <v>23</v>
      </c>
      <c r="J30" t="s">
        <v>26</v>
      </c>
      <c r="K30" t="s">
        <v>29</v>
      </c>
    </row>
    <row r="31" spans="1:15" ht="15" thickBot="1" x14ac:dyDescent="0.4">
      <c r="A31" s="3">
        <v>2</v>
      </c>
      <c r="B31" s="4">
        <v>4.2</v>
      </c>
      <c r="C31" s="4">
        <v>55</v>
      </c>
      <c r="D31" s="7" t="s">
        <v>2</v>
      </c>
      <c r="E31" s="15">
        <f t="shared" si="0"/>
        <v>57</v>
      </c>
      <c r="F31" s="15">
        <f t="shared" si="1"/>
        <v>2.5364528000000002</v>
      </c>
      <c r="G31" s="15" t="str">
        <f t="shared" si="2"/>
        <v>bad</v>
      </c>
      <c r="I31">
        <f>SUMPRODUCT(($D$2:$D$101="Bad")*($A$2:$A$101-AVERAGEIF($D$2:$D$101,"Bad",$A$2:$A$101))*($E$2:$E$101-AVERAGEIF($D$2:$D$101,"Bad",$E$2:$E$101)))/(COUNTIF($D$2:$D$101,"Bad")-1)</f>
        <v>-0.10592044403330246</v>
      </c>
      <c r="J31">
        <f>SUMPRODUCT(($D$2:$D$101="Bad")*($B$2:$B$101-AVERAGEIF($D$2:$D$101,"Bad",$B$2:$B$101))*($E$2:$E$101-AVERAGEIF($D$2:$D$101,"Bad",$E$2:$E$101)))/(COUNTIF($D$2:$D$101,"Bad")-1)</f>
        <v>-1.6623959296947273</v>
      </c>
      <c r="K31">
        <f>SUMPRODUCT(($D$2:$D$101="Bad")*($E$2:$E$101-AVERAGEIF($D$2:$D$101,"Bad",$E$2:$E$101))^2)/(COUNTIF($D$2:$D$101,"Bad")-1)</f>
        <v>50.543015726179462</v>
      </c>
    </row>
    <row r="32" spans="1:15" ht="15" thickBot="1" x14ac:dyDescent="0.4">
      <c r="A32" s="3">
        <v>1</v>
      </c>
      <c r="B32" s="4">
        <v>9</v>
      </c>
      <c r="C32" s="4">
        <v>37</v>
      </c>
      <c r="D32" s="7" t="s">
        <v>2</v>
      </c>
      <c r="E32" s="15">
        <f t="shared" si="0"/>
        <v>39</v>
      </c>
      <c r="F32" s="15">
        <f t="shared" si="1"/>
        <v>3.8968540000000003</v>
      </c>
      <c r="G32" s="15" t="str">
        <f t="shared" si="2"/>
        <v>bad</v>
      </c>
    </row>
    <row r="33" spans="1:15" ht="15" thickBot="1" x14ac:dyDescent="0.4">
      <c r="A33" s="3">
        <v>4</v>
      </c>
      <c r="B33" s="4">
        <v>9.1999999999999993</v>
      </c>
      <c r="C33" s="4">
        <v>39</v>
      </c>
      <c r="D33" s="7" t="s">
        <v>2</v>
      </c>
      <c r="E33" s="15">
        <f t="shared" si="0"/>
        <v>41</v>
      </c>
      <c r="F33" s="15">
        <f t="shared" si="1"/>
        <v>2.9502457999999998</v>
      </c>
      <c r="G33" s="15" t="str">
        <f t="shared" si="2"/>
        <v>bad</v>
      </c>
      <c r="I33" t="s">
        <v>21</v>
      </c>
      <c r="J33" t="s">
        <v>24</v>
      </c>
      <c r="K33" t="s">
        <v>27</v>
      </c>
      <c r="M33" t="s">
        <v>31</v>
      </c>
    </row>
    <row r="34" spans="1:15" ht="15" thickBot="1" x14ac:dyDescent="0.4">
      <c r="A34" s="3">
        <v>5</v>
      </c>
      <c r="B34" s="4">
        <v>4.5999999999999996</v>
      </c>
      <c r="C34" s="4">
        <v>49</v>
      </c>
      <c r="D34" s="7" t="s">
        <v>2</v>
      </c>
      <c r="E34" s="15">
        <f t="shared" si="0"/>
        <v>51</v>
      </c>
      <c r="F34" s="15">
        <f t="shared" si="1"/>
        <v>1.3944263999999997</v>
      </c>
      <c r="G34" s="15" t="str">
        <f t="shared" si="2"/>
        <v>bad</v>
      </c>
      <c r="I34">
        <f>SUMPRODUCT(($D$2:$D$101="Good")*($A$2:$A$101-AVERAGEIF($D$2:$D$101,"Good",$A$2:$A$101))^2)/(COUNTIF($D$2:$D$101,"Good")-1)</f>
        <v>1.5682148040638615</v>
      </c>
      <c r="J34">
        <f>SUMPRODUCT(($D$2:$D$101="Good")*($B$2:$B$101-AVERAGEIF($D$2:$D$101,"Good",$B$2:$B$101))*($A$2:$A$101-AVERAGEIF($D$2:$D$101,"Good",$A$2:$A$101)))/(COUNTIF($D$2:$D$101,"Good")-1)</f>
        <v>-0.16331640058055166</v>
      </c>
      <c r="K34">
        <f>SUMPRODUCT(($D$2:$D$101="Good")*($E$2:$E$101-AVERAGEIF($D$2:$D$101,"Good",$E$2:$E$101))*($A$2:$A$101-AVERAGEIF($D$2:$D$101,"Good",$A$2:$A$101)))/(COUNTIF($D$2:$D$101,"Good")-1)</f>
        <v>0.41872278664731544</v>
      </c>
      <c r="M34">
        <f>SUMPRODUCT(($D$2:$D$101="Good")*($A$2:$A$101-AVERAGEIF($D$2:$D$101,"Good",$A$2:$A$101))^2)/(COUNTIF($D$2:$D$101,"Good")-1)</f>
        <v>1.5682148040638615</v>
      </c>
      <c r="N34">
        <f>SUMPRODUCT(($D$2:$D$101="Good")*($B$2:$B$101-AVERAGEIF($D$2:$D$101,"Good",$B$2:$B$101))*($A$2:$A$101-AVERAGEIF($D$2:$D$101,"Good",$A$2:$A$101)))/(COUNTIF($D$2:$D$101,"Good")-1)</f>
        <v>-0.16331640058055166</v>
      </c>
      <c r="O34">
        <f>SUMPRODUCT(($D$2:$D$101="Good")*($E$2:$E$101-AVERAGEIF($D$2:$D$101,"Good",$E$2:$E$101))*($A$2:$A$101-AVERAGEIF($D$2:$D$101,"Good",$A$2:$A$101)))/(COUNTIF($D$2:$D$101,"Good")-1)</f>
        <v>0.41872278664731544</v>
      </c>
    </row>
    <row r="35" spans="1:15" ht="15" thickBot="1" x14ac:dyDescent="0.4">
      <c r="A35" s="3">
        <v>2</v>
      </c>
      <c r="B35" s="4">
        <v>6.4</v>
      </c>
      <c r="C35" s="4">
        <v>58</v>
      </c>
      <c r="D35" s="7" t="s">
        <v>2</v>
      </c>
      <c r="E35" s="15">
        <f t="shared" si="0"/>
        <v>60</v>
      </c>
      <c r="F35" s="15">
        <f t="shared" si="1"/>
        <v>3.3631896000000001</v>
      </c>
      <c r="G35" s="15" t="str">
        <f t="shared" si="2"/>
        <v>bad</v>
      </c>
      <c r="I35" t="s">
        <v>22</v>
      </c>
      <c r="J35" t="s">
        <v>25</v>
      </c>
      <c r="K35" t="s">
        <v>28</v>
      </c>
      <c r="M35">
        <f>SUMPRODUCT(($D$2:$D$101="Good")*($A$2:$A$101-AVERAGEIF($D$2:$D$101,"Good",$A$2:$A$101))*($B$2:$B$101-AVERAGEIF($D$2:$D$101,"Good",$B$2:$B$101)))/(COUNTIF($D$2:$D$101,"Good")-1)</f>
        <v>-0.16331640058055166</v>
      </c>
      <c r="N35">
        <f>SUMPRODUCT(($D$2:$D$101="Good")*($B$2:$B$101-AVERAGEIF($D$2:$D$101,"Good",$B$2:$B$101))^2)/(COUNTIF($D$2:$D$101,"Good")-1)</f>
        <v>16.092946298984032</v>
      </c>
      <c r="O35">
        <f>SUMPRODUCT(($D$2:$D$101="Good")*($E$2:$E$101-AVERAGEIF($D$2:$D$101,"Good",$E$2:$E$101))*($B$2:$B$101-AVERAGEIF($D$2:$D$101,"Good",$B$2:$B$101)))/(COUNTIF($D$2:$D$101,"Good")-1)</f>
        <v>2.1635341074020307</v>
      </c>
    </row>
    <row r="36" spans="1:15" ht="15" thickBot="1" x14ac:dyDescent="0.4">
      <c r="A36" s="3">
        <v>2</v>
      </c>
      <c r="B36" s="4">
        <v>6</v>
      </c>
      <c r="C36" s="4">
        <v>41</v>
      </c>
      <c r="D36" s="7" t="s">
        <v>2</v>
      </c>
      <c r="E36" s="15">
        <f t="shared" si="0"/>
        <v>43</v>
      </c>
      <c r="F36" s="15">
        <f t="shared" si="1"/>
        <v>2.6746949999999998</v>
      </c>
      <c r="G36" s="15" t="str">
        <f t="shared" si="2"/>
        <v>bad</v>
      </c>
      <c r="I36">
        <f>SUMPRODUCT(($D$2:$D$101="Good")*($A$2:$A$101-AVERAGEIF($D$2:$D$101,"Good",$A$2:$A$101))*($B$2:$B$101-AVERAGEIF($D$2:$D$101,"Good",$B$2:$B$101)))/(COUNTIF($D$2:$D$101,"Good")-1)</f>
        <v>-0.16331640058055166</v>
      </c>
      <c r="J36">
        <f>SUMPRODUCT(($D$2:$D$101="Good")*($B$2:$B$101-AVERAGEIF($D$2:$D$101,"Good",$B$2:$B$101))^2)/(COUNTIF($D$2:$D$101,"Good")-1)</f>
        <v>16.092946298984032</v>
      </c>
      <c r="K36">
        <f>SUMPRODUCT(($D$2:$D$101="Good")*($E$2:$E$101-AVERAGEIF($D$2:$D$101,"Good",$E$2:$E$101))*($B$2:$B$101-AVERAGEIF($D$2:$D$101,"Good",$B$2:$B$101)))/(COUNTIF($D$2:$D$101,"Good")-1)</f>
        <v>2.1635341074020307</v>
      </c>
      <c r="M36">
        <f>SUMPRODUCT(($D$2:$D$101="Good")*($A$2:$A$101-AVERAGEIF($D$2:$D$101,"Good",$A$2:$A$101))*($E$2:$E$101-AVERAGEIF($D$2:$D$101,"Good",$E$2:$E$101)))/(COUNTIF($D$2:$D$101,"Good")-1)</f>
        <v>0.41872278664731544</v>
      </c>
      <c r="N36">
        <f>SUMPRODUCT(($D$2:$D$101="Good")*($B$2:$B$101-AVERAGEIF($D$2:$D$101,"Good",$B$2:$B$101))*($E$2:$E$101-AVERAGEIF($D$2:$D$101,"Good",$E$2:$E$101)))/(COUNTIF($D$2:$D$101,"Good")-1)</f>
        <v>2.1635341074020307</v>
      </c>
      <c r="O36">
        <f>SUMPRODUCT(($D$2:$D$101="Good")*($E$2:$E$101-AVERAGEIF($D$2:$D$101,"Good",$E$2:$E$101))^2)/(COUNTIF($D$2:$D$101,"Good")-1)</f>
        <v>87.882438316400567</v>
      </c>
    </row>
    <row r="37" spans="1:15" ht="15" thickBot="1" x14ac:dyDescent="0.4">
      <c r="A37" s="3">
        <v>1</v>
      </c>
      <c r="B37" s="4">
        <v>10.5</v>
      </c>
      <c r="C37" s="4">
        <v>45</v>
      </c>
      <c r="D37" s="7" t="s">
        <v>2</v>
      </c>
      <c r="E37" s="15">
        <f t="shared" si="0"/>
        <v>47</v>
      </c>
      <c r="F37" s="15">
        <f t="shared" si="1"/>
        <v>4.6552935</v>
      </c>
      <c r="G37" s="15" t="str">
        <f t="shared" si="2"/>
        <v>good</v>
      </c>
      <c r="I37" t="s">
        <v>23</v>
      </c>
      <c r="J37" t="s">
        <v>26</v>
      </c>
      <c r="K37" t="s">
        <v>29</v>
      </c>
    </row>
    <row r="38" spans="1:15" ht="15" thickBot="1" x14ac:dyDescent="0.4">
      <c r="A38" s="3">
        <v>2</v>
      </c>
      <c r="B38" s="4">
        <v>8.9</v>
      </c>
      <c r="C38" s="4">
        <v>55</v>
      </c>
      <c r="D38" s="7" t="s">
        <v>2</v>
      </c>
      <c r="E38" s="15">
        <f t="shared" si="0"/>
        <v>57</v>
      </c>
      <c r="F38" s="15">
        <f t="shared" si="1"/>
        <v>4.0930411000000007</v>
      </c>
      <c r="G38" s="15" t="str">
        <f t="shared" si="2"/>
        <v>good</v>
      </c>
      <c r="I38">
        <f>SUMPRODUCT(($D$2:$D$101="Good")*($A$2:$A$101-AVERAGEIF($D$2:$D$101,"Good",$A$2:$A$101))*($E$2:$E$101-AVERAGEIF($D$2:$D$101,"Good",$E$2:$E$101)))/(COUNTIF($D$2:$D$101,"Good")-1)</f>
        <v>0.41872278664731544</v>
      </c>
      <c r="J38">
        <f>SUMPRODUCT(($D$2:$D$101="Good")*($B$2:$B$101-AVERAGEIF($D$2:$D$101,"Good",$B$2:$B$101))*($E$2:$E$101-AVERAGEIF($D$2:$D$101,"Good",$E$2:$E$101)))/(COUNTIF($D$2:$D$101,"Good")-1)</f>
        <v>2.1635341074020307</v>
      </c>
      <c r="K38">
        <f>SUMPRODUCT(($D$2:$D$101="Good")*($E$2:$E$101-AVERAGEIF($D$2:$D$101,"Good",$E$2:$E$101))^2)/(COUNTIF($D$2:$D$101,"Good")-1)</f>
        <v>87.882438316400567</v>
      </c>
    </row>
    <row r="39" spans="1:15" ht="15" thickBot="1" x14ac:dyDescent="0.4">
      <c r="A39" s="3">
        <v>3</v>
      </c>
      <c r="B39" s="4">
        <v>12.1</v>
      </c>
      <c r="C39" s="4">
        <v>42</v>
      </c>
      <c r="D39" s="7" t="s">
        <v>2</v>
      </c>
      <c r="E39" s="15">
        <f t="shared" si="0"/>
        <v>44</v>
      </c>
      <c r="F39" s="15">
        <f t="shared" si="1"/>
        <v>4.3682349</v>
      </c>
      <c r="G39" s="15" t="str">
        <f t="shared" si="2"/>
        <v>good</v>
      </c>
      <c r="I39" t="s">
        <v>34</v>
      </c>
      <c r="M39" t="s">
        <v>32</v>
      </c>
    </row>
    <row r="40" spans="1:15" ht="15" thickBot="1" x14ac:dyDescent="0.4">
      <c r="A40" s="3">
        <v>4</v>
      </c>
      <c r="B40" s="4">
        <v>9.5</v>
      </c>
      <c r="C40" s="4">
        <v>53</v>
      </c>
      <c r="D40" s="7" t="s">
        <v>2</v>
      </c>
      <c r="E40" s="15">
        <f t="shared" si="0"/>
        <v>55</v>
      </c>
      <c r="F40" s="15">
        <f t="shared" si="1"/>
        <v>3.5075004999999999</v>
      </c>
      <c r="G40" s="15" t="str">
        <f t="shared" si="2"/>
        <v>bad</v>
      </c>
      <c r="M40">
        <f>(46*M27 + 52*M34) / 98</f>
        <v>1.6406246159644109</v>
      </c>
      <c r="N40">
        <f>(46*M28 + 52*M35) / 98</f>
        <v>0.40947779352608143</v>
      </c>
      <c r="O40">
        <f>(46*M29 + 52*M36) / 98</f>
        <v>0.17246167836865806</v>
      </c>
    </row>
    <row r="41" spans="1:15" ht="15" thickBot="1" x14ac:dyDescent="0.4">
      <c r="A41" s="3">
        <v>2</v>
      </c>
      <c r="B41" s="4">
        <v>9.1</v>
      </c>
      <c r="C41" s="4">
        <v>44</v>
      </c>
      <c r="D41" s="7" t="s">
        <v>2</v>
      </c>
      <c r="E41" s="15">
        <f t="shared" si="0"/>
        <v>46</v>
      </c>
      <c r="F41" s="15">
        <f t="shared" si="1"/>
        <v>3.7995019000000001</v>
      </c>
      <c r="G41" s="15" t="str">
        <f t="shared" si="2"/>
        <v>bad</v>
      </c>
      <c r="M41">
        <f>(46*N27 + 52*N34) / 98</f>
        <v>0.40947779352608143</v>
      </c>
      <c r="N41">
        <f>(46*N28 + 52*N35) / 98</f>
        <v>13.26746434101541</v>
      </c>
      <c r="O41">
        <f>(46*N29 + 52*N36) / 98</f>
        <v>0.36768939611171564</v>
      </c>
    </row>
    <row r="42" spans="1:15" ht="15" thickBot="1" x14ac:dyDescent="0.4">
      <c r="A42" s="3">
        <v>3</v>
      </c>
      <c r="B42" s="4">
        <v>7.1</v>
      </c>
      <c r="C42" s="4">
        <v>54</v>
      </c>
      <c r="D42" s="7" t="s">
        <v>2</v>
      </c>
      <c r="E42" s="15">
        <f t="shared" si="0"/>
        <v>56</v>
      </c>
      <c r="F42" s="15">
        <f t="shared" si="1"/>
        <v>3.1047738999999996</v>
      </c>
      <c r="G42" s="15" t="str">
        <f t="shared" si="2"/>
        <v>bad</v>
      </c>
      <c r="M42">
        <f>(46*O27 + 52*O34) / 98</f>
        <v>0.17246167836865806</v>
      </c>
      <c r="N42">
        <f>(46*O28 + 52*O35) / 98</f>
        <v>0.36768939611171564</v>
      </c>
      <c r="O42">
        <f>(46*O29 + 52*O36) / 98</f>
        <v>70.355770569970247</v>
      </c>
    </row>
    <row r="43" spans="1:15" ht="15" thickBot="1" x14ac:dyDescent="0.4">
      <c r="A43" s="3">
        <v>3</v>
      </c>
      <c r="B43" s="4">
        <v>4.0999999999999996</v>
      </c>
      <c r="C43" s="4">
        <v>50</v>
      </c>
      <c r="D43" s="7" t="s">
        <v>2</v>
      </c>
      <c r="E43" s="15">
        <f t="shared" si="0"/>
        <v>52</v>
      </c>
      <c r="F43" s="15">
        <f t="shared" si="1"/>
        <v>1.9803788999999998</v>
      </c>
      <c r="G43" s="15" t="str">
        <f t="shared" si="2"/>
        <v>bad</v>
      </c>
    </row>
    <row r="44" spans="1:15" ht="15" thickBot="1" x14ac:dyDescent="0.4">
      <c r="A44" s="3">
        <v>3</v>
      </c>
      <c r="B44" s="4">
        <v>4.4000000000000004</v>
      </c>
      <c r="C44" s="4">
        <v>41</v>
      </c>
      <c r="D44" s="7" t="s">
        <v>2</v>
      </c>
      <c r="E44" s="15">
        <f t="shared" si="0"/>
        <v>43</v>
      </c>
      <c r="F44" s="15">
        <f t="shared" si="1"/>
        <v>1.7853726000000001</v>
      </c>
      <c r="G44" s="15" t="str">
        <f t="shared" si="2"/>
        <v>bad</v>
      </c>
      <c r="M44" t="s">
        <v>33</v>
      </c>
    </row>
    <row r="45" spans="1:15" ht="15" thickBot="1" x14ac:dyDescent="0.4">
      <c r="A45" s="3">
        <v>1</v>
      </c>
      <c r="B45" s="4">
        <v>5.2</v>
      </c>
      <c r="C45" s="4">
        <v>49</v>
      </c>
      <c r="D45" s="7" t="s">
        <v>2</v>
      </c>
      <c r="E45" s="15">
        <f t="shared" si="0"/>
        <v>51</v>
      </c>
      <c r="F45" s="15">
        <f t="shared" si="1"/>
        <v>3.0308197999999997</v>
      </c>
      <c r="G45" s="15" t="str">
        <f t="shared" si="2"/>
        <v>bad</v>
      </c>
      <c r="M45">
        <f t="array" ref="M45:O47">MINVERSE(M40:O42)</f>
        <v>0.61439486224062312</v>
      </c>
      <c r="N45">
        <v>-1.892325835621253E-2</v>
      </c>
      <c r="O45">
        <v>-1.4071580324342742E-3</v>
      </c>
    </row>
    <row r="46" spans="1:15" ht="15" thickBot="1" x14ac:dyDescent="0.4">
      <c r="A46" s="3">
        <v>1</v>
      </c>
      <c r="B46" s="4">
        <v>4.2</v>
      </c>
      <c r="C46" s="4">
        <v>48</v>
      </c>
      <c r="D46" s="7" t="s">
        <v>2</v>
      </c>
      <c r="E46" s="15">
        <f t="shared" si="0"/>
        <v>50</v>
      </c>
      <c r="F46" s="15">
        <f t="shared" si="1"/>
        <v>2.6669238000000002</v>
      </c>
      <c r="G46" s="15" t="str">
        <f t="shared" si="2"/>
        <v>bad</v>
      </c>
      <c r="M46">
        <v>-1.8923258356212527E-2</v>
      </c>
      <c r="N46">
        <v>7.5966103903076565E-2</v>
      </c>
      <c r="O46">
        <v>-3.5062360589502322E-4</v>
      </c>
    </row>
    <row r="47" spans="1:15" ht="15" thickBot="1" x14ac:dyDescent="0.4">
      <c r="A47" s="3">
        <v>1</v>
      </c>
      <c r="B47" s="4">
        <v>6.5</v>
      </c>
      <c r="C47" s="4">
        <v>49</v>
      </c>
      <c r="D47" s="7" t="s">
        <v>2</v>
      </c>
      <c r="E47" s="15">
        <f t="shared" si="0"/>
        <v>51</v>
      </c>
      <c r="F47" s="15">
        <f t="shared" si="1"/>
        <v>3.4613655000000003</v>
      </c>
      <c r="G47" s="15" t="str">
        <f t="shared" si="2"/>
        <v>bad</v>
      </c>
      <c r="M47">
        <v>-1.4071580324342744E-3</v>
      </c>
      <c r="N47">
        <v>-3.5062360589502322E-4</v>
      </c>
      <c r="O47">
        <v>1.4218756945075708E-2</v>
      </c>
    </row>
    <row r="48" spans="1:15" ht="15" thickBot="1" x14ac:dyDescent="0.4">
      <c r="A48" s="3">
        <v>2</v>
      </c>
      <c r="B48" s="4">
        <v>6.8</v>
      </c>
      <c r="C48" s="4">
        <v>46</v>
      </c>
      <c r="D48" s="7" t="s">
        <v>2</v>
      </c>
      <c r="E48" s="15">
        <f t="shared" si="0"/>
        <v>48</v>
      </c>
      <c r="F48" s="15">
        <f t="shared" si="1"/>
        <v>3.1031811999999999</v>
      </c>
      <c r="G48" s="15" t="str">
        <f t="shared" si="2"/>
        <v>bad</v>
      </c>
    </row>
    <row r="49" spans="1:15" ht="15" thickBot="1" x14ac:dyDescent="0.4">
      <c r="A49" s="4">
        <v>1</v>
      </c>
      <c r="B49" s="4">
        <v>16.7</v>
      </c>
      <c r="C49" s="4">
        <v>60</v>
      </c>
      <c r="D49" s="7" t="s">
        <v>3</v>
      </c>
      <c r="E49" s="15">
        <f t="shared" si="0"/>
        <v>62</v>
      </c>
      <c r="F49" s="15">
        <f t="shared" si="1"/>
        <v>7.1992703000000002</v>
      </c>
      <c r="G49" s="15" t="str">
        <f t="shared" si="2"/>
        <v>good</v>
      </c>
      <c r="I49" t="s">
        <v>35</v>
      </c>
      <c r="M49" t="s">
        <v>36</v>
      </c>
    </row>
    <row r="50" spans="1:15" ht="15" thickBot="1" x14ac:dyDescent="0.4">
      <c r="A50" s="4">
        <v>5</v>
      </c>
      <c r="B50" s="4">
        <v>11.8</v>
      </c>
      <c r="C50" s="4">
        <v>33</v>
      </c>
      <c r="D50" s="7" t="s">
        <v>3</v>
      </c>
      <c r="E50" s="15">
        <f t="shared" si="0"/>
        <v>35</v>
      </c>
      <c r="F50" s="15">
        <f t="shared" si="1"/>
        <v>3.2556752000000002</v>
      </c>
      <c r="G50" s="15" t="str">
        <f t="shared" si="2"/>
        <v>bad</v>
      </c>
      <c r="M50">
        <f t="array" ref="M50:M52">MMULT(M45:O47, M20:M22)</f>
        <v>-0.35941770898705128</v>
      </c>
    </row>
    <row r="51" spans="1:15" ht="15" thickBot="1" x14ac:dyDescent="0.4">
      <c r="A51" s="4">
        <v>2</v>
      </c>
      <c r="B51" s="4">
        <v>10.6</v>
      </c>
      <c r="C51" s="4">
        <v>30</v>
      </c>
      <c r="D51" s="7" t="s">
        <v>3</v>
      </c>
      <c r="E51" s="15">
        <f t="shared" si="0"/>
        <v>32</v>
      </c>
      <c r="F51" s="15">
        <f t="shared" si="1"/>
        <v>3.8383873999999998</v>
      </c>
      <c r="G51" s="15" t="str">
        <f t="shared" si="2"/>
        <v>bad</v>
      </c>
      <c r="M51">
        <v>0.33118910552186648</v>
      </c>
    </row>
    <row r="52" spans="1:15" ht="15" thickBot="1" x14ac:dyDescent="0.4">
      <c r="A52" s="4">
        <v>3</v>
      </c>
      <c r="B52" s="4">
        <v>6</v>
      </c>
      <c r="C52" s="4">
        <v>59</v>
      </c>
      <c r="D52" s="7" t="s">
        <v>3</v>
      </c>
      <c r="E52" s="15">
        <f t="shared" si="0"/>
        <v>61</v>
      </c>
      <c r="F52" s="15">
        <f t="shared" si="1"/>
        <v>2.9040010000000001</v>
      </c>
      <c r="G52" s="15" t="str">
        <f t="shared" si="2"/>
        <v>bad</v>
      </c>
      <c r="M52">
        <v>3.270677412430336E-2</v>
      </c>
    </row>
    <row r="53" spans="1:15" ht="15" thickBot="1" x14ac:dyDescent="0.4">
      <c r="A53" s="4">
        <v>2</v>
      </c>
      <c r="B53" s="4">
        <v>13.6</v>
      </c>
      <c r="C53" s="4">
        <v>46</v>
      </c>
      <c r="D53" s="7" t="s">
        <v>3</v>
      </c>
      <c r="E53" s="15">
        <f t="shared" si="0"/>
        <v>48</v>
      </c>
      <c r="F53" s="15">
        <f t="shared" si="1"/>
        <v>5.3552664000000005</v>
      </c>
      <c r="G53" s="15" t="str">
        <f t="shared" si="2"/>
        <v>good</v>
      </c>
    </row>
    <row r="54" spans="1:15" ht="15" thickBot="1" x14ac:dyDescent="0.4">
      <c r="A54" s="4">
        <v>0</v>
      </c>
      <c r="B54" s="4">
        <v>8.5</v>
      </c>
      <c r="C54" s="4">
        <v>49</v>
      </c>
      <c r="D54" s="7" t="s">
        <v>3</v>
      </c>
      <c r="E54" s="15">
        <f t="shared" si="0"/>
        <v>51</v>
      </c>
      <c r="F54" s="15">
        <f t="shared" si="1"/>
        <v>4.4831634999999999</v>
      </c>
      <c r="G54" s="15" t="str">
        <f t="shared" si="2"/>
        <v>good</v>
      </c>
      <c r="I54" t="s">
        <v>38</v>
      </c>
      <c r="J54">
        <f t="array" ref="J54:L54">TRANSPOSE(M50:M52)</f>
        <v>-0.35941770898705128</v>
      </c>
      <c r="K54">
        <v>0.33118910552186648</v>
      </c>
      <c r="L54">
        <v>3.270677412430336E-2</v>
      </c>
    </row>
    <row r="55" spans="1:15" ht="15" thickBot="1" x14ac:dyDescent="0.4">
      <c r="A55" s="4">
        <v>2</v>
      </c>
      <c r="B55" s="4">
        <v>10.1</v>
      </c>
      <c r="C55" s="4">
        <v>50</v>
      </c>
      <c r="D55" s="7" t="s">
        <v>3</v>
      </c>
      <c r="E55" s="15">
        <f t="shared" si="0"/>
        <v>52</v>
      </c>
      <c r="F55" s="15">
        <f t="shared" si="1"/>
        <v>4.3269328999999992</v>
      </c>
      <c r="G55" s="15" t="str">
        <f t="shared" si="2"/>
        <v>good</v>
      </c>
    </row>
    <row r="56" spans="1:15" ht="15" thickBot="1" x14ac:dyDescent="0.4">
      <c r="A56" s="4">
        <v>0</v>
      </c>
      <c r="B56" s="4">
        <v>14.1</v>
      </c>
      <c r="C56" s="4">
        <v>50</v>
      </c>
      <c r="D56" s="7" t="s">
        <v>3</v>
      </c>
      <c r="E56" s="15">
        <f t="shared" si="0"/>
        <v>52</v>
      </c>
      <c r="F56" s="15">
        <f t="shared" si="1"/>
        <v>6.3705289</v>
      </c>
      <c r="G56" s="15" t="str">
        <f t="shared" si="2"/>
        <v>good</v>
      </c>
      <c r="I56" s="11" t="s">
        <v>39</v>
      </c>
      <c r="J56" s="11"/>
      <c r="K56" s="11"/>
      <c r="L56" s="9"/>
      <c r="M56" s="9"/>
      <c r="N56" s="9"/>
      <c r="O56" s="9"/>
    </row>
    <row r="57" spans="1:15" ht="15" thickBot="1" x14ac:dyDescent="0.4">
      <c r="A57" s="4">
        <v>0</v>
      </c>
      <c r="B57" s="4">
        <v>8.4</v>
      </c>
      <c r="C57" s="4">
        <v>47</v>
      </c>
      <c r="D57" s="7" t="s">
        <v>3</v>
      </c>
      <c r="E57" s="15">
        <f t="shared" si="0"/>
        <v>49</v>
      </c>
      <c r="F57" s="15">
        <f t="shared" si="1"/>
        <v>4.3846306000000004</v>
      </c>
      <c r="G57" s="15" t="str">
        <f t="shared" si="2"/>
        <v>good</v>
      </c>
      <c r="I57" s="9" t="s">
        <v>40</v>
      </c>
      <c r="J57" s="9"/>
      <c r="K57" s="9"/>
      <c r="L57" s="9"/>
      <c r="M57" s="9"/>
      <c r="N57" s="9"/>
      <c r="O57" s="9"/>
    </row>
    <row r="58" spans="1:15" ht="15" thickBot="1" x14ac:dyDescent="0.4">
      <c r="A58" s="4">
        <v>2</v>
      </c>
      <c r="B58" s="4">
        <v>9.1999999999999993</v>
      </c>
      <c r="C58" s="4">
        <v>60</v>
      </c>
      <c r="D58" s="7" t="s">
        <v>3</v>
      </c>
      <c r="E58" s="15">
        <f t="shared" si="0"/>
        <v>62</v>
      </c>
      <c r="F58" s="15">
        <f t="shared" si="1"/>
        <v>4.3559327999999997</v>
      </c>
      <c r="G58" s="15" t="str">
        <f t="shared" si="2"/>
        <v>good</v>
      </c>
      <c r="I58" s="9" t="s">
        <v>41</v>
      </c>
      <c r="J58" s="9"/>
      <c r="K58" s="9"/>
      <c r="L58" s="9"/>
      <c r="M58" s="9"/>
      <c r="N58" s="9"/>
      <c r="O58" s="9"/>
    </row>
    <row r="59" spans="1:15" ht="15" thickBot="1" x14ac:dyDescent="0.4">
      <c r="A59" s="4">
        <v>2</v>
      </c>
      <c r="B59" s="4">
        <v>7.7</v>
      </c>
      <c r="C59" s="4">
        <v>58</v>
      </c>
      <c r="D59" s="7" t="s">
        <v>3</v>
      </c>
      <c r="E59" s="15">
        <f t="shared" si="0"/>
        <v>60</v>
      </c>
      <c r="F59" s="15">
        <f t="shared" si="1"/>
        <v>3.7937352999999998</v>
      </c>
      <c r="G59" s="15" t="str">
        <f t="shared" si="2"/>
        <v>bad</v>
      </c>
    </row>
    <row r="60" spans="1:15" ht="15" thickBot="1" x14ac:dyDescent="0.4">
      <c r="A60" s="4">
        <v>2</v>
      </c>
      <c r="B60" s="4">
        <v>10.7</v>
      </c>
      <c r="C60" s="4">
        <v>39</v>
      </c>
      <c r="D60" s="7" t="s">
        <v>3</v>
      </c>
      <c r="E60" s="15">
        <f t="shared" si="0"/>
        <v>41</v>
      </c>
      <c r="F60" s="15">
        <f t="shared" si="1"/>
        <v>4.1658692999999998</v>
      </c>
      <c r="G60" s="15" t="str">
        <f t="shared" si="2"/>
        <v>good</v>
      </c>
      <c r="I60" t="s">
        <v>42</v>
      </c>
    </row>
    <row r="61" spans="1:15" ht="15" thickBot="1" x14ac:dyDescent="0.4">
      <c r="A61" s="4">
        <v>2</v>
      </c>
      <c r="B61" s="4">
        <v>12.5</v>
      </c>
      <c r="C61" s="4">
        <v>46</v>
      </c>
      <c r="D61" s="7" t="s">
        <v>3</v>
      </c>
      <c r="E61" s="15">
        <f t="shared" si="0"/>
        <v>48</v>
      </c>
      <c r="F61" s="15">
        <f t="shared" si="1"/>
        <v>4.9909585000000005</v>
      </c>
      <c r="G61" s="15" t="str">
        <f t="shared" si="2"/>
        <v>good</v>
      </c>
      <c r="I61" t="s">
        <v>46</v>
      </c>
      <c r="K61" t="s">
        <v>45</v>
      </c>
    </row>
    <row r="62" spans="1:15" ht="15" thickBot="1" x14ac:dyDescent="0.4">
      <c r="A62" s="4">
        <v>2</v>
      </c>
      <c r="B62" s="4">
        <v>9.1</v>
      </c>
      <c r="C62" s="4">
        <v>56</v>
      </c>
      <c r="D62" s="7" t="s">
        <v>3</v>
      </c>
      <c r="E62" s="15">
        <f t="shared" si="0"/>
        <v>58</v>
      </c>
      <c r="F62" s="15">
        <f t="shared" si="1"/>
        <v>4.1919858999999997</v>
      </c>
      <c r="G62" s="15" t="str">
        <f t="shared" si="2"/>
        <v>good</v>
      </c>
      <c r="K62" s="13">
        <f>0.5*MMULT(J54:L54, (I20:I22+K20:K22))</f>
        <v>3.9575538574300917</v>
      </c>
    </row>
    <row r="63" spans="1:15" ht="15" thickBot="1" x14ac:dyDescent="0.4">
      <c r="A63" s="4">
        <v>2</v>
      </c>
      <c r="B63" s="4">
        <v>11.8</v>
      </c>
      <c r="C63" s="4">
        <v>46</v>
      </c>
      <c r="D63" s="7" t="s">
        <v>3</v>
      </c>
      <c r="E63" s="15">
        <f t="shared" si="0"/>
        <v>48</v>
      </c>
      <c r="F63" s="15">
        <f t="shared" si="1"/>
        <v>4.7591261999999999</v>
      </c>
      <c r="G63" s="15" t="str">
        <f t="shared" si="2"/>
        <v>good</v>
      </c>
    </row>
    <row r="64" spans="1:15" ht="15" thickBot="1" x14ac:dyDescent="0.4">
      <c r="A64" s="4">
        <v>1</v>
      </c>
      <c r="B64" s="4">
        <v>11.9</v>
      </c>
      <c r="C64" s="4">
        <v>42</v>
      </c>
      <c r="D64" s="7" t="s">
        <v>3</v>
      </c>
      <c r="E64" s="15">
        <f t="shared" si="0"/>
        <v>44</v>
      </c>
      <c r="F64" s="15">
        <f t="shared" si="1"/>
        <v>5.0208370999999996</v>
      </c>
      <c r="G64" s="15" t="str">
        <f t="shared" si="2"/>
        <v>good</v>
      </c>
    </row>
    <row r="65" spans="1:7" ht="15" thickBot="1" x14ac:dyDescent="0.4">
      <c r="A65" s="4">
        <v>1</v>
      </c>
      <c r="B65" s="4">
        <v>9.4</v>
      </c>
      <c r="C65" s="4">
        <v>59</v>
      </c>
      <c r="D65" s="7" t="s">
        <v>3</v>
      </c>
      <c r="E65" s="15">
        <f t="shared" si="0"/>
        <v>61</v>
      </c>
      <c r="F65" s="15">
        <f t="shared" si="1"/>
        <v>4.7488836000000001</v>
      </c>
      <c r="G65" s="15" t="str">
        <f t="shared" si="2"/>
        <v>good</v>
      </c>
    </row>
    <row r="66" spans="1:7" ht="15" thickBot="1" x14ac:dyDescent="0.4">
      <c r="A66" s="4">
        <v>1</v>
      </c>
      <c r="B66" s="4">
        <v>10.7</v>
      </c>
      <c r="C66" s="4">
        <v>40</v>
      </c>
      <c r="D66" s="7" t="s">
        <v>3</v>
      </c>
      <c r="E66" s="15">
        <f t="shared" si="0"/>
        <v>42</v>
      </c>
      <c r="F66" s="15">
        <f t="shared" si="1"/>
        <v>4.5579962999999992</v>
      </c>
      <c r="G66" s="15" t="str">
        <f t="shared" si="2"/>
        <v>good</v>
      </c>
    </row>
    <row r="67" spans="1:7" ht="15" thickBot="1" x14ac:dyDescent="0.4">
      <c r="A67" s="4">
        <v>4</v>
      </c>
      <c r="B67" s="4">
        <v>15.1</v>
      </c>
      <c r="C67" s="4">
        <v>57</v>
      </c>
      <c r="D67" s="7" t="s">
        <v>3</v>
      </c>
      <c r="E67" s="15">
        <f t="shared" ref="E67:E101" si="3">SUM(C67+2)</f>
        <v>59</v>
      </c>
      <c r="F67" s="15">
        <f t="shared" ref="F67:F101" si="4">(-0.35942*A67)+(0.331189*B67)+(0.032707*E67)</f>
        <v>5.4929869</v>
      </c>
      <c r="G67" s="15" t="str">
        <f t="shared" ref="G67:G101" si="5">IF(F67&lt;=$K$62,"bad","good")</f>
        <v>good</v>
      </c>
    </row>
    <row r="68" spans="1:7" ht="15" thickBot="1" x14ac:dyDescent="0.4">
      <c r="A68" s="4">
        <v>3</v>
      </c>
      <c r="B68" s="4">
        <v>15.9</v>
      </c>
      <c r="C68" s="4">
        <v>60</v>
      </c>
      <c r="D68" s="7" t="s">
        <v>3</v>
      </c>
      <c r="E68" s="15">
        <f t="shared" si="3"/>
        <v>62</v>
      </c>
      <c r="F68" s="15">
        <f t="shared" si="4"/>
        <v>6.2154790999999996</v>
      </c>
      <c r="G68" s="15" t="str">
        <f t="shared" si="5"/>
        <v>good</v>
      </c>
    </row>
    <row r="69" spans="1:7" ht="15" thickBot="1" x14ac:dyDescent="0.4">
      <c r="A69" s="4">
        <v>2</v>
      </c>
      <c r="B69" s="4">
        <v>13.7</v>
      </c>
      <c r="C69" s="4">
        <v>57</v>
      </c>
      <c r="D69" s="7" t="s">
        <v>3</v>
      </c>
      <c r="E69" s="15">
        <f t="shared" si="3"/>
        <v>59</v>
      </c>
      <c r="F69" s="15">
        <f t="shared" si="4"/>
        <v>5.7481623000000006</v>
      </c>
      <c r="G69" s="15" t="str">
        <f t="shared" si="5"/>
        <v>good</v>
      </c>
    </row>
    <row r="70" spans="1:7" ht="15" thickBot="1" x14ac:dyDescent="0.4">
      <c r="A70" s="4">
        <v>3</v>
      </c>
      <c r="B70" s="4">
        <v>12.6</v>
      </c>
      <c r="C70" s="4">
        <v>51</v>
      </c>
      <c r="D70" s="7" t="s">
        <v>3</v>
      </c>
      <c r="E70" s="15">
        <f t="shared" si="3"/>
        <v>53</v>
      </c>
      <c r="F70" s="15">
        <f t="shared" si="4"/>
        <v>4.8281923999999998</v>
      </c>
      <c r="G70" s="15" t="str">
        <f t="shared" si="5"/>
        <v>good</v>
      </c>
    </row>
    <row r="71" spans="1:7" ht="15" thickBot="1" x14ac:dyDescent="0.4">
      <c r="A71" s="4">
        <v>1</v>
      </c>
      <c r="B71" s="4">
        <v>12.1</v>
      </c>
      <c r="C71" s="4">
        <v>43</v>
      </c>
      <c r="D71" s="7" t="s">
        <v>3</v>
      </c>
      <c r="E71" s="15">
        <f t="shared" si="3"/>
        <v>45</v>
      </c>
      <c r="F71" s="15">
        <f t="shared" si="4"/>
        <v>5.1197819000000004</v>
      </c>
      <c r="G71" s="15" t="str">
        <f t="shared" si="5"/>
        <v>good</v>
      </c>
    </row>
    <row r="72" spans="1:7" ht="15" thickBot="1" x14ac:dyDescent="0.4">
      <c r="A72" s="4">
        <v>2</v>
      </c>
      <c r="B72" s="4">
        <v>11.3</v>
      </c>
      <c r="C72" s="4">
        <v>40</v>
      </c>
      <c r="D72" s="7" t="s">
        <v>3</v>
      </c>
      <c r="E72" s="15">
        <f t="shared" si="3"/>
        <v>42</v>
      </c>
      <c r="F72" s="15">
        <f t="shared" si="4"/>
        <v>4.3972897</v>
      </c>
      <c r="G72" s="15" t="str">
        <f t="shared" si="5"/>
        <v>good</v>
      </c>
    </row>
    <row r="73" spans="1:7" ht="15" thickBot="1" x14ac:dyDescent="0.4">
      <c r="A73" s="4">
        <v>0</v>
      </c>
      <c r="B73" s="4">
        <v>12.5</v>
      </c>
      <c r="C73" s="4">
        <v>53</v>
      </c>
      <c r="D73" s="7" t="s">
        <v>3</v>
      </c>
      <c r="E73" s="15">
        <f t="shared" si="3"/>
        <v>55</v>
      </c>
      <c r="F73" s="15">
        <f t="shared" si="4"/>
        <v>5.9387475000000007</v>
      </c>
      <c r="G73" s="15" t="str">
        <f t="shared" si="5"/>
        <v>good</v>
      </c>
    </row>
    <row r="74" spans="1:7" ht="15" thickBot="1" x14ac:dyDescent="0.4">
      <c r="A74" s="4">
        <v>2</v>
      </c>
      <c r="B74" s="4">
        <v>11.3</v>
      </c>
      <c r="C74" s="4">
        <v>40</v>
      </c>
      <c r="D74" s="7" t="s">
        <v>3</v>
      </c>
      <c r="E74" s="15">
        <f t="shared" si="3"/>
        <v>42</v>
      </c>
      <c r="F74" s="15">
        <f t="shared" si="4"/>
        <v>4.3972897</v>
      </c>
      <c r="G74" s="15" t="str">
        <f t="shared" si="5"/>
        <v>good</v>
      </c>
    </row>
    <row r="75" spans="1:7" ht="15" thickBot="1" x14ac:dyDescent="0.4">
      <c r="A75" s="4">
        <v>1</v>
      </c>
      <c r="B75" s="4">
        <v>10.5</v>
      </c>
      <c r="C75" s="4">
        <v>30</v>
      </c>
      <c r="D75" s="7" t="s">
        <v>3</v>
      </c>
      <c r="E75" s="15">
        <f t="shared" si="3"/>
        <v>32</v>
      </c>
      <c r="F75" s="15">
        <f t="shared" si="4"/>
        <v>4.1646885000000005</v>
      </c>
      <c r="G75" s="15" t="str">
        <f t="shared" si="5"/>
        <v>good</v>
      </c>
    </row>
    <row r="76" spans="1:7" ht="15" thickBot="1" x14ac:dyDescent="0.4">
      <c r="A76" s="4">
        <v>2</v>
      </c>
      <c r="B76" s="4">
        <v>9.8000000000000007</v>
      </c>
      <c r="C76" s="4">
        <v>30</v>
      </c>
      <c r="D76" s="7" t="s">
        <v>3</v>
      </c>
      <c r="E76" s="15">
        <f t="shared" si="3"/>
        <v>32</v>
      </c>
      <c r="F76" s="15">
        <f t="shared" si="4"/>
        <v>3.5734362000000002</v>
      </c>
      <c r="G76" s="15" t="str">
        <f t="shared" si="5"/>
        <v>bad</v>
      </c>
    </row>
    <row r="77" spans="1:7" ht="15" thickBot="1" x14ac:dyDescent="0.4">
      <c r="A77" s="4">
        <v>0</v>
      </c>
      <c r="B77" s="4">
        <v>10.1</v>
      </c>
      <c r="C77" s="4">
        <v>39</v>
      </c>
      <c r="D77" s="7" t="s">
        <v>3</v>
      </c>
      <c r="E77" s="15">
        <f t="shared" si="3"/>
        <v>41</v>
      </c>
      <c r="F77" s="15">
        <f t="shared" si="4"/>
        <v>4.6859959</v>
      </c>
      <c r="G77" s="15" t="str">
        <f t="shared" si="5"/>
        <v>good</v>
      </c>
    </row>
    <row r="78" spans="1:7" ht="15" thickBot="1" x14ac:dyDescent="0.4">
      <c r="A78" s="4">
        <v>4</v>
      </c>
      <c r="B78" s="4">
        <v>4.8</v>
      </c>
      <c r="C78" s="4">
        <v>60</v>
      </c>
      <c r="D78" s="7" t="s">
        <v>3</v>
      </c>
      <c r="E78" s="15">
        <f t="shared" si="3"/>
        <v>62</v>
      </c>
      <c r="F78" s="15">
        <f t="shared" si="4"/>
        <v>2.1798611999999999</v>
      </c>
      <c r="G78" s="15" t="str">
        <f t="shared" si="5"/>
        <v>bad</v>
      </c>
    </row>
    <row r="79" spans="1:7" ht="15" thickBot="1" x14ac:dyDescent="0.4">
      <c r="A79" s="4">
        <v>1</v>
      </c>
      <c r="B79" s="4">
        <v>12.9</v>
      </c>
      <c r="C79" s="4">
        <v>47</v>
      </c>
      <c r="D79" s="7" t="s">
        <v>3</v>
      </c>
      <c r="E79" s="15">
        <f t="shared" si="3"/>
        <v>49</v>
      </c>
      <c r="F79" s="15">
        <f t="shared" si="4"/>
        <v>5.5155611000000011</v>
      </c>
      <c r="G79" s="15" t="str">
        <f t="shared" si="5"/>
        <v>good</v>
      </c>
    </row>
    <row r="80" spans="1:7" ht="15" thickBot="1" x14ac:dyDescent="0.4">
      <c r="A80" s="4">
        <v>2</v>
      </c>
      <c r="B80" s="4">
        <v>13.1</v>
      </c>
      <c r="C80" s="4">
        <v>57</v>
      </c>
      <c r="D80" s="7" t="s">
        <v>3</v>
      </c>
      <c r="E80" s="15">
        <f t="shared" si="3"/>
        <v>59</v>
      </c>
      <c r="F80" s="15">
        <f t="shared" si="4"/>
        <v>5.5494488999999998</v>
      </c>
      <c r="G80" s="15" t="str">
        <f t="shared" si="5"/>
        <v>good</v>
      </c>
    </row>
    <row r="81" spans="1:7" ht="15" thickBot="1" x14ac:dyDescent="0.4">
      <c r="A81" s="4">
        <v>1</v>
      </c>
      <c r="B81" s="4">
        <v>7.9</v>
      </c>
      <c r="C81" s="4">
        <v>54</v>
      </c>
      <c r="D81" s="7" t="s">
        <v>3</v>
      </c>
      <c r="E81" s="15">
        <f t="shared" si="3"/>
        <v>56</v>
      </c>
      <c r="F81" s="15">
        <f t="shared" si="4"/>
        <v>4.0885651000000003</v>
      </c>
      <c r="G81" s="15" t="str">
        <f t="shared" si="5"/>
        <v>good</v>
      </c>
    </row>
    <row r="82" spans="1:7" ht="15" thickBot="1" x14ac:dyDescent="0.4">
      <c r="A82" s="4">
        <v>1</v>
      </c>
      <c r="B82" s="4">
        <v>6.5</v>
      </c>
      <c r="C82" s="4">
        <v>51</v>
      </c>
      <c r="D82" s="7" t="s">
        <v>3</v>
      </c>
      <c r="E82" s="15">
        <f t="shared" si="3"/>
        <v>53</v>
      </c>
      <c r="F82" s="15">
        <f t="shared" si="4"/>
        <v>3.5267795</v>
      </c>
      <c r="G82" s="15" t="str">
        <f t="shared" si="5"/>
        <v>bad</v>
      </c>
    </row>
    <row r="83" spans="1:7" ht="15" thickBot="1" x14ac:dyDescent="0.4">
      <c r="A83" s="4">
        <v>4</v>
      </c>
      <c r="B83" s="4">
        <v>13.2</v>
      </c>
      <c r="C83" s="4">
        <v>33</v>
      </c>
      <c r="D83" s="7" t="s">
        <v>3</v>
      </c>
      <c r="E83" s="15">
        <f t="shared" si="3"/>
        <v>35</v>
      </c>
      <c r="F83" s="15">
        <f t="shared" si="4"/>
        <v>4.0787598000000003</v>
      </c>
      <c r="G83" s="15" t="str">
        <f t="shared" si="5"/>
        <v>good</v>
      </c>
    </row>
    <row r="84" spans="1:7" ht="15" thickBot="1" x14ac:dyDescent="0.4">
      <c r="A84" s="4">
        <v>2</v>
      </c>
      <c r="B84" s="4">
        <v>6.5</v>
      </c>
      <c r="C84" s="4">
        <v>38</v>
      </c>
      <c r="D84" s="7" t="s">
        <v>3</v>
      </c>
      <c r="E84" s="15">
        <f t="shared" si="3"/>
        <v>40</v>
      </c>
      <c r="F84" s="15">
        <f t="shared" si="4"/>
        <v>2.7421685</v>
      </c>
      <c r="G84" s="15" t="str">
        <f t="shared" si="5"/>
        <v>bad</v>
      </c>
    </row>
    <row r="85" spans="1:7" ht="15" thickBot="1" x14ac:dyDescent="0.4">
      <c r="A85" s="4">
        <v>0</v>
      </c>
      <c r="B85" s="4">
        <v>4.7</v>
      </c>
      <c r="C85" s="4">
        <v>37</v>
      </c>
      <c r="D85" s="7" t="s">
        <v>3</v>
      </c>
      <c r="E85" s="15">
        <f t="shared" si="3"/>
        <v>39</v>
      </c>
      <c r="F85" s="15">
        <f t="shared" si="4"/>
        <v>2.8321613000000001</v>
      </c>
      <c r="G85" s="15" t="str">
        <f t="shared" si="5"/>
        <v>bad</v>
      </c>
    </row>
    <row r="86" spans="1:7" ht="15" thickBot="1" x14ac:dyDescent="0.4">
      <c r="A86" s="4">
        <v>0</v>
      </c>
      <c r="B86" s="4">
        <v>8</v>
      </c>
      <c r="C86" s="4">
        <v>46</v>
      </c>
      <c r="D86" s="7" t="s">
        <v>3</v>
      </c>
      <c r="E86" s="15">
        <f t="shared" si="3"/>
        <v>48</v>
      </c>
      <c r="F86" s="15">
        <f t="shared" si="4"/>
        <v>4.2194479999999999</v>
      </c>
      <c r="G86" s="15" t="str">
        <f t="shared" si="5"/>
        <v>good</v>
      </c>
    </row>
    <row r="87" spans="1:7" ht="15" thickBot="1" x14ac:dyDescent="0.4">
      <c r="A87" s="4">
        <v>3</v>
      </c>
      <c r="B87" s="4">
        <v>13.9</v>
      </c>
      <c r="C87" s="4">
        <v>54</v>
      </c>
      <c r="D87" s="7" t="s">
        <v>3</v>
      </c>
      <c r="E87" s="15">
        <f t="shared" si="3"/>
        <v>56</v>
      </c>
      <c r="F87" s="15">
        <f t="shared" si="4"/>
        <v>5.3568590999999994</v>
      </c>
      <c r="G87" s="15" t="str">
        <f t="shared" si="5"/>
        <v>good</v>
      </c>
    </row>
    <row r="88" spans="1:7" ht="15" thickBot="1" x14ac:dyDescent="0.4">
      <c r="A88" s="4">
        <v>0</v>
      </c>
      <c r="B88" s="4">
        <v>11.4</v>
      </c>
      <c r="C88" s="4">
        <v>58</v>
      </c>
      <c r="D88" s="7" t="s">
        <v>3</v>
      </c>
      <c r="E88" s="15">
        <f t="shared" si="3"/>
        <v>60</v>
      </c>
      <c r="F88" s="15">
        <f t="shared" si="4"/>
        <v>5.7379746000000003</v>
      </c>
      <c r="G88" s="15" t="str">
        <f t="shared" si="5"/>
        <v>good</v>
      </c>
    </row>
    <row r="89" spans="1:7" ht="15" thickBot="1" x14ac:dyDescent="0.4">
      <c r="A89" s="4">
        <v>2</v>
      </c>
      <c r="B89" s="4">
        <v>9.3000000000000007</v>
      </c>
      <c r="C89" s="4">
        <v>59</v>
      </c>
      <c r="D89" s="7" t="s">
        <v>3</v>
      </c>
      <c r="E89" s="15">
        <f t="shared" si="3"/>
        <v>61</v>
      </c>
      <c r="F89" s="15">
        <f t="shared" si="4"/>
        <v>4.3563447000000002</v>
      </c>
      <c r="G89" s="15" t="str">
        <f t="shared" si="5"/>
        <v>good</v>
      </c>
    </row>
    <row r="90" spans="1:7" ht="15" thickBot="1" x14ac:dyDescent="0.4">
      <c r="A90" s="4">
        <v>1</v>
      </c>
      <c r="B90" s="4">
        <v>16.3</v>
      </c>
      <c r="C90" s="4">
        <v>34</v>
      </c>
      <c r="D90" s="7" t="s">
        <v>3</v>
      </c>
      <c r="E90" s="15">
        <f t="shared" si="3"/>
        <v>36</v>
      </c>
      <c r="F90" s="15">
        <f t="shared" si="4"/>
        <v>6.2164127000000002</v>
      </c>
      <c r="G90" s="15" t="str">
        <f t="shared" si="5"/>
        <v>good</v>
      </c>
    </row>
    <row r="91" spans="1:7" ht="15" thickBot="1" x14ac:dyDescent="0.4">
      <c r="A91" s="4">
        <v>4</v>
      </c>
      <c r="B91" s="4">
        <v>11.3</v>
      </c>
      <c r="C91" s="4">
        <v>37</v>
      </c>
      <c r="D91" s="7" t="s">
        <v>3</v>
      </c>
      <c r="E91" s="15">
        <f t="shared" si="3"/>
        <v>39</v>
      </c>
      <c r="F91" s="15">
        <f t="shared" si="4"/>
        <v>3.5803287000000004</v>
      </c>
      <c r="G91" s="15" t="str">
        <f t="shared" si="5"/>
        <v>bad</v>
      </c>
    </row>
    <row r="92" spans="1:7" ht="15" thickBot="1" x14ac:dyDescent="0.4">
      <c r="A92" s="4">
        <v>4</v>
      </c>
      <c r="B92" s="4">
        <v>7.9</v>
      </c>
      <c r="C92" s="4">
        <v>45</v>
      </c>
      <c r="D92" s="7" t="s">
        <v>3</v>
      </c>
      <c r="E92" s="15">
        <f t="shared" si="3"/>
        <v>47</v>
      </c>
      <c r="F92" s="15">
        <f t="shared" si="4"/>
        <v>2.7159421000000004</v>
      </c>
      <c r="G92" s="15" t="str">
        <f t="shared" si="5"/>
        <v>bad</v>
      </c>
    </row>
    <row r="93" spans="1:7" ht="15" thickBot="1" x14ac:dyDescent="0.4">
      <c r="A93" s="4">
        <v>1</v>
      </c>
      <c r="B93" s="4">
        <v>14</v>
      </c>
      <c r="C93" s="4">
        <v>39</v>
      </c>
      <c r="D93" s="7" t="s">
        <v>3</v>
      </c>
      <c r="E93" s="15">
        <f t="shared" si="3"/>
        <v>41</v>
      </c>
      <c r="F93" s="15">
        <f t="shared" si="4"/>
        <v>5.6182129999999999</v>
      </c>
      <c r="G93" s="15" t="str">
        <f t="shared" si="5"/>
        <v>good</v>
      </c>
    </row>
    <row r="94" spans="1:7" ht="15" thickBot="1" x14ac:dyDescent="0.4">
      <c r="A94" s="4">
        <v>1</v>
      </c>
      <c r="B94" s="4">
        <v>28</v>
      </c>
      <c r="C94" s="4">
        <v>56</v>
      </c>
      <c r="D94" s="7" t="s">
        <v>3</v>
      </c>
      <c r="E94" s="15">
        <f t="shared" si="3"/>
        <v>58</v>
      </c>
      <c r="F94" s="15">
        <f t="shared" si="4"/>
        <v>10.810877999999999</v>
      </c>
      <c r="G94" s="15" t="str">
        <f t="shared" si="5"/>
        <v>good</v>
      </c>
    </row>
    <row r="95" spans="1:7" ht="15" thickBot="1" x14ac:dyDescent="0.4">
      <c r="A95" s="4">
        <v>1</v>
      </c>
      <c r="B95" s="4">
        <v>6.5</v>
      </c>
      <c r="C95" s="4">
        <v>40</v>
      </c>
      <c r="D95" s="7" t="s">
        <v>3</v>
      </c>
      <c r="E95" s="15">
        <f t="shared" si="3"/>
        <v>42</v>
      </c>
      <c r="F95" s="15">
        <f t="shared" si="4"/>
        <v>3.1670025000000002</v>
      </c>
      <c r="G95" s="15" t="str">
        <f t="shared" si="5"/>
        <v>bad</v>
      </c>
    </row>
    <row r="96" spans="1:7" ht="15" thickBot="1" x14ac:dyDescent="0.4">
      <c r="A96" s="4">
        <v>1</v>
      </c>
      <c r="B96" s="4">
        <v>9.8000000000000007</v>
      </c>
      <c r="C96" s="4">
        <v>41</v>
      </c>
      <c r="D96" s="7" t="s">
        <v>3</v>
      </c>
      <c r="E96" s="15">
        <f t="shared" si="3"/>
        <v>43</v>
      </c>
      <c r="F96" s="15">
        <f t="shared" si="4"/>
        <v>4.2926332</v>
      </c>
      <c r="G96" s="15" t="str">
        <f t="shared" si="5"/>
        <v>good</v>
      </c>
    </row>
    <row r="97" spans="1:7" ht="15" thickBot="1" x14ac:dyDescent="0.4">
      <c r="A97" s="4">
        <v>1</v>
      </c>
      <c r="B97" s="4">
        <v>14.2</v>
      </c>
      <c r="C97" s="4">
        <v>54</v>
      </c>
      <c r="D97" s="7" t="s">
        <v>3</v>
      </c>
      <c r="E97" s="15">
        <f t="shared" si="3"/>
        <v>56</v>
      </c>
      <c r="F97" s="15">
        <f t="shared" si="4"/>
        <v>6.1750557999999991</v>
      </c>
      <c r="G97" s="15" t="str">
        <f t="shared" si="5"/>
        <v>good</v>
      </c>
    </row>
    <row r="98" spans="1:7" ht="15" thickBot="1" x14ac:dyDescent="0.4">
      <c r="A98" s="4">
        <v>1</v>
      </c>
      <c r="B98" s="4">
        <v>10.7</v>
      </c>
      <c r="C98" s="4">
        <v>59</v>
      </c>
      <c r="D98" s="7" t="s">
        <v>3</v>
      </c>
      <c r="E98" s="15">
        <f t="shared" si="3"/>
        <v>61</v>
      </c>
      <c r="F98" s="15">
        <f t="shared" si="4"/>
        <v>5.1794292999999998</v>
      </c>
      <c r="G98" s="15" t="str">
        <f t="shared" si="5"/>
        <v>good</v>
      </c>
    </row>
    <row r="99" spans="1:7" ht="15" thickBot="1" x14ac:dyDescent="0.4">
      <c r="A99" s="4">
        <v>3</v>
      </c>
      <c r="B99" s="4">
        <v>10</v>
      </c>
      <c r="C99" s="4">
        <v>58</v>
      </c>
      <c r="D99" s="7" t="s">
        <v>3</v>
      </c>
      <c r="E99" s="15">
        <f t="shared" si="3"/>
        <v>60</v>
      </c>
      <c r="F99" s="15">
        <f t="shared" si="4"/>
        <v>4.1960499999999996</v>
      </c>
      <c r="G99" s="15" t="str">
        <f t="shared" si="5"/>
        <v>good</v>
      </c>
    </row>
    <row r="100" spans="1:7" ht="15" thickBot="1" x14ac:dyDescent="0.4">
      <c r="A100" s="4">
        <v>0</v>
      </c>
      <c r="B100" s="4">
        <v>12</v>
      </c>
      <c r="C100" s="4">
        <v>39</v>
      </c>
      <c r="D100" s="7" t="s">
        <v>3</v>
      </c>
      <c r="E100" s="15">
        <f t="shared" si="3"/>
        <v>41</v>
      </c>
      <c r="F100" s="15">
        <f t="shared" si="4"/>
        <v>5.3152550000000005</v>
      </c>
      <c r="G100" s="15" t="str">
        <f t="shared" si="5"/>
        <v>good</v>
      </c>
    </row>
    <row r="101" spans="1:7" ht="15" thickBot="1" x14ac:dyDescent="0.4">
      <c r="A101" s="4">
        <v>1</v>
      </c>
      <c r="B101" s="4">
        <v>23</v>
      </c>
      <c r="C101" s="4">
        <v>43</v>
      </c>
      <c r="D101" s="7" t="s">
        <v>3</v>
      </c>
      <c r="E101" s="15">
        <f t="shared" si="3"/>
        <v>45</v>
      </c>
      <c r="F101" s="15">
        <f t="shared" si="4"/>
        <v>8.7297419999999999</v>
      </c>
      <c r="G101" s="15" t="str">
        <f t="shared" si="5"/>
        <v>good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Rizki</dc:creator>
  <cp:lastModifiedBy>pc asus</cp:lastModifiedBy>
  <dcterms:created xsi:type="dcterms:W3CDTF">2025-11-13T05:27:56Z</dcterms:created>
  <dcterms:modified xsi:type="dcterms:W3CDTF">2025-11-18T14:19:54Z</dcterms:modified>
</cp:coreProperties>
</file>